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2" sheetId="1" state="visible" r:id="rId3"/>
    <sheet name="Resumen" sheetId="2" state="visible" r:id="rId4"/>
  </sheets>
  <definedNames>
    <definedName function="false" hidden="true" localSheetId="0" name="_xlnm._FilterDatabase" vbProcedure="false">'Hoja 2'!$A$1:$N$97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<sst xmlns="http://schemas.openxmlformats.org/spreadsheetml/2006/main" count="941" uniqueCount="324">
  <si>
    <t xml:space="preserve">Nombre</t>
  </si>
  <si>
    <t xml:space="preserve">Tipo</t>
  </si>
  <si>
    <t xml:space="preserve">Texto de carta</t>
  </si>
  <si>
    <t xml:space="preserve">Quien la hizo</t>
  </si>
  <si>
    <t xml:space="preserve">Rareza</t>
  </si>
  <si>
    <t xml:space="preserve">Creacion</t>
  </si>
  <si>
    <t xml:space="preserve">Imagen</t>
  </si>
  <si>
    <t xml:space="preserve">Lore</t>
  </si>
  <si>
    <t xml:space="preserve">Glosario</t>
  </si>
  <si>
    <t xml:space="preserve">Comentarios internos</t>
  </si>
  <si>
    <t xml:space="preserve">Estado</t>
  </si>
  <si>
    <t xml:space="preserve">Efecto en el código</t>
  </si>
  <si>
    <t xml:space="preserve">Dificultad para agregarla</t>
  </si>
  <si>
    <t xml:space="preserve">Qué falta para agregarla</t>
  </si>
  <si>
    <t xml:space="preserve">Ying y Yang</t>
  </si>
  <si>
    <t xml:space="preserve">Beneficio</t>
  </si>
  <si>
    <t xml:space="preserve">En tu próximo combate, restás 1 a todas tus tiradas. En el combate siguiente, sumás 3 a todas tus tiradas.</t>
  </si>
  <si>
    <t xml:space="preserve">Fede</t>
  </si>
  <si>
    <t xml:space="preserve">Común</t>
  </si>
  <si>
    <t xml:space="preserve">Un mercader chino</t>
  </si>
  <si>
    <t xml:space="preserve">Implementada</t>
  </si>
  <si>
    <t xml:space="preserve">TwoPhaseFlat: -1 en el primer combate y +3 en el siguiente · alcance: este combate y el siguiente</t>
  </si>
  <si>
    <t xml:space="preserve">—</t>
  </si>
  <si>
    <t xml:space="preserve">Ya anda en el juego</t>
  </si>
  <si>
    <t xml:space="preserve">Twisted</t>
  </si>
  <si>
    <t xml:space="preserve">Durante tu próximo combate, si tu rival usa una Bendición que suma un número fijo a una tirada, esa suma se convierte en una resta por el mismo valor.</t>
  </si>
  <si>
    <t xml:space="preserve">El Bufon </t>
  </si>
  <si>
    <t xml:space="preserve">TwistRival: las sumas fijas del rival se convierten en restas · alcance: todo el próximo combate · la aplica el rival</t>
  </si>
  <si>
    <t xml:space="preserve">Justicia Divina</t>
  </si>
  <si>
    <t xml:space="preserve">Durante tu próximo combate, en cada tirada gana quien obtiene el número más bajo.</t>
  </si>
  <si>
    <t xml:space="preserve">El juez</t>
  </si>
  <si>
    <t xml:space="preserve">WinRule: en esa tirada gana el número más bajo · alcance: todo el próximo combate</t>
  </si>
  <si>
    <t xml:space="preserve">Redistribución de las riquezas</t>
  </si>
  <si>
    <t xml:space="preserve">Durante tu próximo combate, en cada tirada gana quien obtiene el resultado más cercano a 10.</t>
  </si>
  <si>
    <t xml:space="preserve">El economista</t>
  </si>
  <si>
    <t xml:space="preserve">WinRule: gana el más cercano a 10 · alcance: todo el próximo combate</t>
  </si>
  <si>
    <t xml:space="preserve">Multiplicar</t>
  </si>
  <si>
    <t xml:space="preserve">En tu próximo lanzamiento, duplicás el resultado. El resultado final no puede superar 20.</t>
  </si>
  <si>
    <t xml:space="preserve">El matematico</t>
  </si>
  <si>
    <t xml:space="preserve">MultiplyCapped: multiplica x2 con tope 20 · alcance: próxima tirada</t>
  </si>
  <si>
    <t xml:space="preserve">Juego Seguro</t>
  </si>
  <si>
    <t xml:space="preserve">En tu próximo lanzamiento, si sacás entre 1 y 9, triplicás el resultado. Si sacás entre 11 y 20, dividís el resultado entre 2 y redondeás hacia arriba. Si sacás 10, no cambia.</t>
  </si>
  <si>
    <t xml:space="preserve">SafePlay: hasta 9 multiplica x3; desde 11 divide entre 2 · alcance: próxima tirada</t>
  </si>
  <si>
    <t xml:space="preserve">Trampa de oso</t>
  </si>
  <si>
    <t xml:space="preserve">Durante tu próximo combate, una tirada del rival solo puede ganar si obtiene al menos 10.</t>
  </si>
  <si>
    <t xml:space="preserve">WinRule: la tirada del rival solo gana con 10 o más · alcance: todo el próximo combate</t>
  </si>
  <si>
    <t xml:space="preserve">Trampa de oso +</t>
  </si>
  <si>
    <t xml:space="preserve">Durante tu próximo combate, una tirada del rival solo puede ganar si obtiene al menos 15.</t>
  </si>
  <si>
    <t xml:space="preserve">WinRule: la tirada del rival solo gana con 15 o más · alcance: todo el próximo combate</t>
  </si>
  <si>
    <t xml:space="preserve">Dos caminos</t>
  </si>
  <si>
    <t xml:space="preserve">En tu próximo lanzamiento, si el resultado es impar, sumás 3. Si es par, restás 3.</t>
  </si>
  <si>
    <t xml:space="preserve">ParityBonus: si sale impar: +3; si sale par: -3 · alcance: próxima tirada</t>
  </si>
  <si>
    <t xml:space="preserve">En tu próximo lanzamiento, si el resultado es par, sumás 3. Si es impar, restás 3.</t>
  </si>
  <si>
    <t xml:space="preserve">ParityBonus: si sale par: +3; si sale impar: -3 · alcance: próxima tirada</t>
  </si>
  <si>
    <t xml:space="preserve">Fibonacci</t>
  </si>
  <si>
    <t xml:space="preserve">En tu próximo lanzamiento, si sacás un número de Fibonacci (1, 2, 3, 5, 8 o 13), sumás el número anterior de la secuencia. Los demás resultados no cambian.</t>
  </si>
  <si>
    <t xml:space="preserve">FibonacciBonus: suma el Fibonacci anterior · alcance: próxima tirada</t>
  </si>
  <si>
    <t xml:space="preserve">No tan rápido +++</t>
  </si>
  <si>
    <t xml:space="preserve">En el próximo lanzamiento de tu rival, cualquier resultado mayor a 15 se convierte en 15.</t>
  </si>
  <si>
    <t xml:space="preserve">MaxResult: el resultado no pasa de 15 · alcance: próxima tirada de combate · la aplica el rival</t>
  </si>
  <si>
    <t xml:space="preserve">No tan rápido </t>
  </si>
  <si>
    <t xml:space="preserve">En el próximo lanzamiento de tu rival, restale 3 al resultado final.</t>
  </si>
  <si>
    <t xml:space="preserve">FlatBonus: suma fija -3 · alcance: próxima tirada de combate · la aplica el rival</t>
  </si>
  <si>
    <t xml:space="preserve">Remordimiento</t>
  </si>
  <si>
    <t xml:space="preserve">Robá una Bendición al azar de otro jugador.</t>
  </si>
  <si>
    <t xml:space="preserve">HandAction: roba una bendición al azar de otro jugador · alcance: al recibirla</t>
  </si>
  <si>
    <t xml:space="preserve">Yang y Ying</t>
  </si>
  <si>
    <t xml:space="preserve">Maleficio</t>
  </si>
  <si>
    <t xml:space="preserve">En tu próximo combate, sumás 1 a todas tus tiradas. En el combate siguiente, restás 3 a todas tus tiradas.</t>
  </si>
  <si>
    <t xml:space="preserve">TwoPhaseFlat: +1 en el primer combate y -3 en el siguiente · alcance: este combate y el siguiente</t>
  </si>
  <si>
    <t xml:space="preserve">Condena </t>
  </si>
  <si>
    <t xml:space="preserve">A partir de ahora, cada rival contra el que combatas recibe +1 a todas sus tiradas durante ese combate.</t>
  </si>
  <si>
    <t xml:space="preserve">El DIablo</t>
  </si>
  <si>
    <t xml:space="preserve">FlatBonus: suma fija +1 · alcance: permanente · la aplica el rival</t>
  </si>
  <si>
    <t xml:space="preserve">Condena +</t>
  </si>
  <si>
    <t xml:space="preserve">A partir de ahora, cada rival contra el que combatas recibe +2 a todas sus tiradas durante ese combate.</t>
  </si>
  <si>
    <t xml:space="preserve">FlatBonus: suma fija +2 · alcance: permanente · la aplica el rival</t>
  </si>
  <si>
    <t xml:space="preserve">Condena ++</t>
  </si>
  <si>
    <t xml:space="preserve">A partir de ahora, cada rival contra el que combatas recibe +3 a todas sus tiradas durante ese combate.</t>
  </si>
  <si>
    <t xml:space="preserve">FlatBonus: suma fija +3 · alcance: permanente · la aplica el rival</t>
  </si>
  <si>
    <t xml:space="preserve">Ying y Yang ++</t>
  </si>
  <si>
    <t xml:space="preserve">En tu próximo combate, restás 5 a todas tus tiradas. En el combate siguiente, sumás 10 a todas tus tiradas.</t>
  </si>
  <si>
    <t xml:space="preserve">Épica</t>
  </si>
  <si>
    <t xml:space="preserve">TwoPhaseFlat: -5 en el primer combate y +10 en el siguiente · alcance: este combate y el siguiente</t>
  </si>
  <si>
    <t xml:space="preserve">Twisted ++</t>
  </si>
  <si>
    <t xml:space="preserve">Durante tu próximo combate, si tu rival usa una Bendición que suma un número fijo a una tirada, esa suma no tiene efecto.</t>
  </si>
  <si>
    <t xml:space="preserve">TwistRival: las sumas fijas del rival no tienen efecto · alcance: todo el próximo combate · la aplica el rival</t>
  </si>
  <si>
    <t xml:space="preserve">Dado Cambiado 5 + +</t>
  </si>
  <si>
    <t xml:space="preserve">En tu próximo lanzamiento, tenés 5 tiradas en total. Convertí cada resultado del D20 a un valor de 1 a 5: 1-4 = 1, 5-8 = 2, 9-12 = 3, 13-16 = 4 y 17-20 = 5. Elegí uno de los cinco resultados.</t>
  </si>
  <si>
    <t xml:space="preserve">El Ingeniero</t>
  </si>
  <si>
    <t xml:space="preserve">DiceControl: tirás 5 dados convertidos a 1-5 y elegís · alcance: próxima tirada</t>
  </si>
  <si>
    <t xml:space="preserve">Fortuna +</t>
  </si>
  <si>
    <t xml:space="preserve">A partir de ahora, en cada lanzamiento tirás 3 veces el D20 y elegís uno de los resultados.</t>
  </si>
  <si>
    <t xml:space="preserve">DiceControl: tirás 3 dados y elegís · alcance: permanente</t>
  </si>
  <si>
    <t xml:space="preserve">Dos caminos + +</t>
  </si>
  <si>
    <t xml:space="preserve">En tu próximo lanzamiento, si el resultado es impar, sumás 10. Si es par, restás 10.</t>
  </si>
  <si>
    <t xml:space="preserve">ParityBonus: si sale impar: +10; si sale par: -10 · alcance: próxima tirada</t>
  </si>
  <si>
    <t xml:space="preserve">En tu próximo lanzamiento, si el resultado es par, sumás 10. Si es impar, restás 10.</t>
  </si>
  <si>
    <t xml:space="preserve">ParityBonus: si sale par: +10; si sale impar: -10 · alcance: próxima tirada</t>
  </si>
  <si>
    <t xml:space="preserve">Fibonacci Riesgoso</t>
  </si>
  <si>
    <t xml:space="preserve">En tu próximo lanzamiento, si sacás un número de Fibonacci (1, 2, 3, 5, 8 o 13), sumás los dos números anteriores de la secuencia. Si no es Fibonacci, restás el número de Fibonacci anterior más cercano.</t>
  </si>
  <si>
    <t xml:space="preserve">FibonacciBonus: suma los dos anteriores; si no es Fibonacci, resta el anterior · alcance: próxima tirada</t>
  </si>
  <si>
    <t xml:space="preserve">No tan rápido ++</t>
  </si>
  <si>
    <t xml:space="preserve">En el próximo lanzamiento de tu rival, restale 10 al resultado final.</t>
  </si>
  <si>
    <t xml:space="preserve">FlatBonus: suma fija -10 · alcance: próxima tirada de combate · la aplica el rival</t>
  </si>
  <si>
    <t xml:space="preserve">Yang y Ying --</t>
  </si>
  <si>
    <t xml:space="preserve">En tu próximo combate, sumás 5 a todas tus tiradas. En el combate siguiente, restás 10 a todas tus tiradas.</t>
  </si>
  <si>
    <t xml:space="preserve">TwoPhaseFlat: +5 en el primer combate y -10 en el siguiente · alcance: este combate y el siguiente</t>
  </si>
  <si>
    <t xml:space="preserve">Dado Cambiado 5 - -</t>
  </si>
  <si>
    <t xml:space="preserve">En tu próximo lanzamiento, tenés 2 tiradas en total. Convertí cada resultado del D20 a 1-5: 1-4 = 1, 5-8 = 2, 9-12 = 3, 13-16 = 4 y 17-20 = 5. Elegí uno de los dos resultados.</t>
  </si>
  <si>
    <t xml:space="preserve">DiceControl: tirás 2 dados convertidos a 1-5 y elegís · alcance: próxima tirada</t>
  </si>
  <si>
    <t xml:space="preserve">Mala suerte</t>
  </si>
  <si>
    <t xml:space="preserve">En tu próximo combate, tu cantidad total de tiradas se reduce en 1. Nunca podés quedar con menos de 1 tirada.</t>
  </si>
  <si>
    <t xml:space="preserve">CombatRolls: el combate dura 1 tirada menos · alcance: todo el próximo combate</t>
  </si>
  <si>
    <t xml:space="preserve">Dividir -</t>
  </si>
  <si>
    <t xml:space="preserve">En tu próximo lanzamiento, dividí el resultado entre 2 y redondeá hacia arriba. Este efecto dura tus próximos 2 turnos.</t>
  </si>
  <si>
    <t xml:space="preserve">DivideRoundUp: divide entre 2 y redondea hacia arriba · alcance: próxima tirada · 2 uso(s)</t>
  </si>
  <si>
    <t xml:space="preserve">Ying y Yang +</t>
  </si>
  <si>
    <t xml:space="preserve">En tu próximo combate, restás 3 a todas tus tiradas. En el combate siguiente, sumás 5 a todas tus tiradas.</t>
  </si>
  <si>
    <t xml:space="preserve">Peligrosa</t>
  </si>
  <si>
    <t xml:space="preserve">TwoPhaseFlat: -3 en el primer combate y +5 en el siguiente · alcance: este combate y el siguiente</t>
  </si>
  <si>
    <t xml:space="preserve">Twisted +</t>
  </si>
  <si>
    <t xml:space="preserve">En tu próximo combate, si tu rival usa una Bendición que multiplica una tirada, el resultado se divide en lugar de multiplicarse.</t>
  </si>
  <si>
    <t xml:space="preserve">TwistRival: lo que el rival multiplica, se divide · alcance: todo el próximo combate · la aplica el rival</t>
  </si>
  <si>
    <t xml:space="preserve">Dado Cambiado 2 +</t>
  </si>
  <si>
    <t xml:space="preserve">En tu próximo lanzamiento, tenés 3 tiradas en total. Convertí cada resultado del D20 a 1 o 2: 1-10 = 1 y 11-20 = 2. Elegí uno de los tres resultados.</t>
  </si>
  <si>
    <t xml:space="preserve">DiceControl: tirás 3 dados convertidos a 1-2 y elegís · alcance: próxima tirada</t>
  </si>
  <si>
    <t xml:space="preserve">Dado Cambiado 5 +</t>
  </si>
  <si>
    <t xml:space="preserve">En tu próximo lanzamiento, tenés 4 tiradas en total. Convertí cada resultado del D20 a 1-5: 1-4 = 1, 5-8 = 2, 9-12 = 3, 13-16 = 4 y 17-20 = 5. Elegí uno de los cuatro resultados.</t>
  </si>
  <si>
    <t xml:space="preserve">DiceControl: tirás 4 dados convertidos a 1-5 y elegís · alcance: próxima tirada</t>
  </si>
  <si>
    <t xml:space="preserve">Fortuna</t>
  </si>
  <si>
    <t xml:space="preserve">A partir de ahora, en cada lanzamiento tirás 2 veces el D20 y elegís uno de los resultados.</t>
  </si>
  <si>
    <t xml:space="preserve">DiceControl: tirás 2 dados y elegís · alcance: permanente</t>
  </si>
  <si>
    <t xml:space="preserve">Multiplicar +</t>
  </si>
  <si>
    <t xml:space="preserve">En tu próximo lanzamiento, duplicás el resultado. El resultado final no puede superar 25.</t>
  </si>
  <si>
    <t xml:space="preserve">MultiplyCapped: multiplica x2 con tope 25 · alcance: próxima tirada</t>
  </si>
  <si>
    <t xml:space="preserve">Multiplicar ++</t>
  </si>
  <si>
    <t xml:space="preserve">En tu próximo lanzamiento, duplicás el resultado. El resultado final no puede superar 30.</t>
  </si>
  <si>
    <t xml:space="preserve">MultiplyCapped: multiplica x2 con tope 30 · alcance: próxima tirada</t>
  </si>
  <si>
    <t xml:space="preserve">El apostador</t>
  </si>
  <si>
    <t xml:space="preserve">En tu próximo lanzamiento, tirás el D20 una segunda vez y lanzás una moneda. Si sale cara, dividís el segundo resultado entre 2 y redondeás hacia arriba. Si sale cruz, duplicás el segundo resultado.</t>
  </si>
  <si>
    <t xml:space="preserve">Dueño del casino</t>
  </si>
  <si>
    <t xml:space="preserve">DiceControl: segunda tirada con moneda: mitad o doble · alcance: próxima tirada</t>
  </si>
  <si>
    <t xml:space="preserve">Dos caminos +</t>
  </si>
  <si>
    <t xml:space="preserve">En tu próximo lanzamiento, si el resultado es impar, sumás 5. Si es par, restás 5.</t>
  </si>
  <si>
    <t xml:space="preserve">ParityBonus: si sale impar: +5; si sale par: -5 · alcance: próxima tirada</t>
  </si>
  <si>
    <t xml:space="preserve">En tu próximo lanzamiento, si el resultado es par, sumás 5. Si es impar, restás 5.</t>
  </si>
  <si>
    <t xml:space="preserve">ParityBonus: si sale par: +5; si sale impar: -5 · alcance: próxima tirada</t>
  </si>
  <si>
    <t xml:space="preserve">No tan rápido +</t>
  </si>
  <si>
    <t xml:space="preserve">En el próximo lanzamiento de tu rival, restale 5 al resultado final.</t>
  </si>
  <si>
    <t xml:space="preserve">FlatBonus: suma fija -5 · alcance: próxima tirada de combate · la aplica el rival</t>
  </si>
  <si>
    <t xml:space="preserve">Robá una Bendición específica que elijas de otro jugador.</t>
  </si>
  <si>
    <t xml:space="preserve">HandAction: roba la mejor bendición de otro jugador · alcance: al recibirla</t>
  </si>
  <si>
    <t xml:space="preserve">Yang y Ying -</t>
  </si>
  <si>
    <t xml:space="preserve">Dado Cambiado 5 -</t>
  </si>
  <si>
    <t xml:space="preserve">Dado Cambiado 2 -</t>
  </si>
  <si>
    <t xml:space="preserve">En tu próximo lanzamiento, tenés 2 tiradas en total. Convertí cada resultado del D20 a 1 o 2: 1-10 = 1 y 11-20 = 2. Elegí uno de los dos resultados.</t>
  </si>
  <si>
    <t xml:space="preserve">DiceControl: tirás 2 dados convertidos a 1-2 y elegís · alcance: próxima tirada</t>
  </si>
  <si>
    <t xml:space="preserve">Dividir</t>
  </si>
  <si>
    <t xml:space="preserve">En tu próximo lanzamiento, dividí el resultado entre 2 y redondeá hacia arriba.</t>
  </si>
  <si>
    <t xml:space="preserve">DivideRoundUp: divide entre 2 y redondea hacia arriba · alcance: próxima tirada</t>
  </si>
  <si>
    <t xml:space="preserve">Impulso</t>
  </si>
  <si>
    <t xml:space="preserve">En tu próximo lanzamiento, sumás 2 al resultado final.</t>
  </si>
  <si>
    <t xml:space="preserve">Valentin</t>
  </si>
  <si>
    <t xml:space="preserve">FlatBonus: suma fija +2 · alcance: próxima tirada</t>
  </si>
  <si>
    <t xml:space="preserve">Escudo</t>
  </si>
  <si>
    <t xml:space="preserve">En tu próximo combate, la primera penalización que recibas se reduce en 3.</t>
  </si>
  <si>
    <t xml:space="preserve">ModifyIncoming: la primera penalización que recibas se reduce en 3 · alcance: todo el próximo combate</t>
  </si>
  <si>
    <t xml:space="preserve">Revancha</t>
  </si>
  <si>
    <t xml:space="preserve">Si perdés tu próximo combate, podés repetir una de las 3 tiradas de ese combate. Debés conservar el nuevo resultado.</t>
  </si>
  <si>
    <t xml:space="preserve">PlayerChoice: si perdés el combate repetís una tirada · alcance: todo el próximo combate</t>
  </si>
  <si>
    <t xml:space="preserve">Paso firme</t>
  </si>
  <si>
    <t xml:space="preserve">En tu próximo lanzamiento, si sacás entre 1 y 9, sumás 4. Si sacás 10 o más, el resultado no cambia.</t>
  </si>
  <si>
    <t xml:space="preserve">ThresholdBonus: si el dado sale entre 1 y 9: +4 · alcance: próxima tirada</t>
  </si>
  <si>
    <t xml:space="preserve">Apuesta controlada</t>
  </si>
  <si>
    <t xml:space="preserve">Antes de tu próximo lanzamiento, elegí una opción: si sacás 10 o menos, sumás 5; si sacás 11 o más, restás 2.</t>
  </si>
  <si>
    <t xml:space="preserve">PlayerChoice: elegís si apostar: 10 o menos suma 5, si no resta 2 · alcance: próxima tirada</t>
  </si>
  <si>
    <t xml:space="preserve">Reserva</t>
  </si>
  <si>
    <t xml:space="preserve">En tu próximo combate, una vez podés guardar el resultado de una de tus tiradas y usar exactamente ese mismo resultado en tu siguiente tirada.</t>
  </si>
  <si>
    <t xml:space="preserve">PlayerChoice: guardás un resultado para la tirada siguiente · alcance: todo el próximo combate · 1 uso(s)</t>
  </si>
  <si>
    <t xml:space="preserve">Destino alterado</t>
  </si>
  <si>
    <t xml:space="preserve">Una vez durante tu próximo combate, después de tirar, podés sumar 4 o restar 4 a tu resultado.</t>
  </si>
  <si>
    <t xml:space="preserve">PlayerChoice: después de tirar elegís sumar o restar 4 · alcance: todo el próximo combate · 1 uso(s)</t>
  </si>
  <si>
    <t xml:space="preserve">Golpe perfecto</t>
  </si>
  <si>
    <t xml:space="preserve">En tu próximo combate, si sacás 18, 19 o 20 en una tirada, sumás 3 al resultado.</t>
  </si>
  <si>
    <t xml:space="preserve">ThresholdBonus: si el dado sale entre 18 y 20: +3 · alcance: todo el próximo combate</t>
  </si>
  <si>
    <t xml:space="preserve">Doble o nada</t>
  </si>
  <si>
    <t xml:space="preserve">En tu próxima tirada de combate, tirás 2 D20 y elegís el resultado que prefieras.</t>
  </si>
  <si>
    <t xml:space="preserve">DiceControl: tirás 2 dados y elegís · alcance: próxima tirada de combate</t>
  </si>
  <si>
    <t xml:space="preserve">Negación</t>
  </si>
  <si>
    <t xml:space="preserve">Una vez durante tu próximo combate, podés anular una Bendición que tu rival haya usado en esa misma tirada.</t>
  </si>
  <si>
    <t xml:space="preserve">TwistRival: anula la mayor bendición del rival una vez · alcance: todo el próximo combate · la aplica el rival · 1 uso(s)</t>
  </si>
  <si>
    <t xml:space="preserve">Última oportunidad</t>
  </si>
  <si>
    <t xml:space="preserve">Si después de las primeras 2 tiradas de tu próximo combate vas perdiendo, sumás 6 a tu tercera tirada.</t>
  </si>
  <si>
    <t xml:space="preserve">HistoryBonus: si vas perdiendo tras 2 tiradas: +6 · alcance: todo el próximo combate · sólo la tirada 3 del combate</t>
  </si>
  <si>
    <t xml:space="preserve">Predicción</t>
  </si>
  <si>
    <t xml:space="preserve">Antes de tu próximo lanzamiento, elegí impar o par. Si acertás, sumás 7. Si fallás, restás 2.</t>
  </si>
  <si>
    <t xml:space="preserve">PlayerChoice: elegís impar o par: acertar suma 7, fallar -2 · alcance: próxima tirada</t>
  </si>
  <si>
    <t xml:space="preserve">Cadena de victorias</t>
  </si>
  <si>
    <t xml:space="preserve">Si ganás una tirada durante tu próximo combate, sumás 3 a tu siguiente tirada.</t>
  </si>
  <si>
    <t xml:space="preserve">HistoryBonus: si ganaste la tirada anterior: +3 · alcance: todo el próximo combate</t>
  </si>
  <si>
    <t xml:space="preserve">Descanso</t>
  </si>
  <si>
    <t xml:space="preserve">Al obtener esta carta, podés descartar una Maldición Común que tengas.</t>
  </si>
  <si>
    <t xml:space="preserve">HandAction: descarta una maldición común propia · alcance: al recibirla</t>
  </si>
  <si>
    <t xml:space="preserve">Fatiga</t>
  </si>
  <si>
    <t xml:space="preserve">En tu próximo combate, restás 2 a tu primera tirada.</t>
  </si>
  <si>
    <t xml:space="preserve">FlatBonus: suma fija -2 · alcance: todo el próximo combate · sólo la tirada 1 del combate</t>
  </si>
  <si>
    <t xml:space="preserve">Tropiezo</t>
  </si>
  <si>
    <t xml:space="preserve">En tu próximo lanzamiento, el resultado final no puede ser mayor que 15.</t>
  </si>
  <si>
    <t xml:space="preserve">MaxResult: el resultado no pasa de 15 · alcance: próxima tirada</t>
  </si>
  <si>
    <t xml:space="preserve">Duda</t>
  </si>
  <si>
    <t xml:space="preserve">En tu próximo lanzamiento, si el resultado es par, restás 3.</t>
  </si>
  <si>
    <t xml:space="preserve">ParityBonus: si sale par: -3; si sale impar: +0 · alcance: próxima tirada</t>
  </si>
  <si>
    <t xml:space="preserve">Peso muerto</t>
  </si>
  <si>
    <t xml:space="preserve">En tu próximo combate, la primera vez que uses una Bendición, restás 2 a esa misma tirada.</t>
  </si>
  <si>
    <t xml:space="preserve">BlessingPenalty: la primera bendición que uses te resta 2 · alcance: todo el próximo combate</t>
  </si>
  <si>
    <t xml:space="preserve">Desgaste</t>
  </si>
  <si>
    <t xml:space="preserve">En tu próximo combate, restás 2 a tu segunda tirada.</t>
  </si>
  <si>
    <t xml:space="preserve">FlatBonus: suma fija -2 · alcance: todo el próximo combate · sólo la tirada 2 del combate</t>
  </si>
  <si>
    <t xml:space="preserve">Piedra en el camino</t>
  </si>
  <si>
    <t xml:space="preserve">En tu próximo lanzamiento de exploración, restás 3 al resultado.</t>
  </si>
  <si>
    <t xml:space="preserve">FlatBonus: suma fija -3 · alcance: próxima tirada de exploración</t>
  </si>
  <si>
    <t xml:space="preserve">Mal paso</t>
  </si>
  <si>
    <t xml:space="preserve">En tu próximo lanzamiento, si sacás 5 o menos, restás 3 adicionales.</t>
  </si>
  <si>
    <t xml:space="preserve">ThresholdBonus: si el dado sale entre 1 y 5: -3 · alcance: próxima tirada</t>
  </si>
  <si>
    <t xml:space="preserve">Pulso inestable</t>
  </si>
  <si>
    <t xml:space="preserve">En tu próximo lanzamiento, si sacás 16 o más, restás 4.</t>
  </si>
  <si>
    <t xml:space="preserve">ThresholdBonus: si el dado sale entre 16 y 20: -4 · alcance: próxima tirada</t>
  </si>
  <si>
    <t xml:space="preserve">Desánimo</t>
  </si>
  <si>
    <t xml:space="preserve">En tu próximo combate, si perdés la primera tirada, restás 2 a tu segunda tirada.</t>
  </si>
  <si>
    <t xml:space="preserve">HistoryBonus: si perdiste la tirada 1: -2 · alcance: todo el próximo combate · sólo la tirada 2 del combate</t>
  </si>
  <si>
    <t xml:space="preserve">Talón de Aquiles</t>
  </si>
  <si>
    <t xml:space="preserve">En tu próximo combate, si sacás exactamente 10, ese resultado se convierte en 5.</t>
  </si>
  <si>
    <t xml:space="preserve">ValueConvert: convierte el 10 en 5 · alcance: todo el próximo combate</t>
  </si>
  <si>
    <t xml:space="preserve">En empate</t>
  </si>
  <si>
    <t xml:space="preserve">Durante tu próximo combate, si una de tus tiradas empata con la de tu rival, esa tirada cuenta como perdida para vos.</t>
  </si>
  <si>
    <t xml:space="preserve">WinRule: tus empates cuentan como derrota · alcance: todo el próximo combate</t>
  </si>
  <si>
    <t xml:space="preserve">Cansancio</t>
  </si>
  <si>
    <t xml:space="preserve">En tu próxima ronda de exploración, el primer lanzamiento que realices recibe -2.</t>
  </si>
  <si>
    <t xml:space="preserve">FlatBonus: suma fija -2 · alcance: próxima tirada de exploración</t>
  </si>
  <si>
    <t xml:space="preserve">Herida abierta</t>
  </si>
  <si>
    <t xml:space="preserve">En tu próximo combate, restás 4 a tu primera tirada.</t>
  </si>
  <si>
    <t xml:space="preserve">FlatBonus: suma fija -4 · alcance: todo el próximo combate · sólo la tirada 1 del combate</t>
  </si>
  <si>
    <t xml:space="preserve">Agotamiento</t>
  </si>
  <si>
    <t xml:space="preserve">En tu próximo combate, no podés usar efectos que te otorguen tiradas adicionales.</t>
  </si>
  <si>
    <t xml:space="preserve">DiceControl: bloquea los dados extra · alcance: todo el próximo combate</t>
  </si>
  <si>
    <t xml:space="preserve">Lastre</t>
  </si>
  <si>
    <t xml:space="preserve">En tu próximo combate, restás 2 a todas tus tiradas.</t>
  </si>
  <si>
    <t xml:space="preserve">FlatBonus: suma fija -2 · alcance: todo el próximo combate</t>
  </si>
  <si>
    <t xml:space="preserve">Temor</t>
  </si>
  <si>
    <t xml:space="preserve">En tu próximo combate, cada resultado de 15 o más se convierte en 14.</t>
  </si>
  <si>
    <t xml:space="preserve">MaxResult: el resultado no pasa de 14 · alcance: todo el próximo combate</t>
  </si>
  <si>
    <t xml:space="preserve">Desconcentración</t>
  </si>
  <si>
    <t xml:space="preserve">En tu próximo combate, si usás 2 o más Bendiciones, restás 5 a tu tercera tirada.</t>
  </si>
  <si>
    <t xml:space="preserve">BlessingPenalty: si usás 2 o más bendiciones, resta 5 · alcance: todo el próximo combate · sólo la tirada 3 del combate</t>
  </si>
  <si>
    <t xml:space="preserve">Bloqueo</t>
  </si>
  <si>
    <t xml:space="preserve">En tu próximo combate, no podés usar la misma Bendición más de una vez.</t>
  </si>
  <si>
    <t xml:space="preserve">BlessingRestriction: cada bendición una sola vez por combate · alcance: todo el próximo combate</t>
  </si>
  <si>
    <t xml:space="preserve">Mala racha</t>
  </si>
  <si>
    <t xml:space="preserve">En tu próximo combate, cada vez que saques 18, 19 o 20, debés volver a tirar y quedarte con el segundo resultado.</t>
  </si>
  <si>
    <t xml:space="preserve">DiceControl: si sacás 18 o más, volvés a tirar y vale el segundo · alcance: todo el próximo combate</t>
  </si>
  <si>
    <t xml:space="preserve">Inercia</t>
  </si>
  <si>
    <t xml:space="preserve">En tu próximo combate, no podés modificar el resultado de tu primera tirada usando Bendiciones.</t>
  </si>
  <si>
    <t xml:space="preserve">BlessingRestriction: no podés usar bendiciones en esa tirada · alcance: todo el próximo combate · sólo la tirada 1 del combate</t>
  </si>
  <si>
    <t xml:space="preserve">Carga</t>
  </si>
  <si>
    <t xml:space="preserve">Si tenés 3 o más Bendiciones al recibir esta carta, restás 3 a todas tus tiradas del próximo combate.</t>
  </si>
  <si>
    <t xml:space="preserve">FlatBonus: suma fija -3 · alcance: todo el próximo combate · sólo si tenés 3 o más bendiciones al recibirla</t>
  </si>
  <si>
    <t xml:space="preserve">Riesgo calculado</t>
  </si>
  <si>
    <t xml:space="preserve">En tu próximo combate, la primera Bendición que uses también hace que restes 2 a esa misma tirada.</t>
  </si>
  <si>
    <t xml:space="preserve">Fractura</t>
  </si>
  <si>
    <t xml:space="preserve">Después de usar una Bendición en tu próximo combate, restás 2 a tu siguiente tirada.</t>
  </si>
  <si>
    <t xml:space="preserve">BlessingPenalty: la tirada siguiente a usar una bendición resta 2 · alcance: todo el próximo combate</t>
  </si>
  <si>
    <t xml:space="preserve">Marcha pesada</t>
  </si>
  <si>
    <t xml:space="preserve">En tu próxima ronda de exploración, restás 2 a todos tus lanzamientos.</t>
  </si>
  <si>
    <t xml:space="preserve">Tormenta</t>
  </si>
  <si>
    <t xml:space="preserve">En tu próximo combate, tu primera tirada no puede superar 10 después de aplicar todos los efectos.</t>
  </si>
  <si>
    <t xml:space="preserve">MaxResult: el resultado no pasa de 10 · alcance: todo el próximo combate · sólo la tirada 1 del combate</t>
  </si>
  <si>
    <t xml:space="preserve">Ancla</t>
  </si>
  <si>
    <t xml:space="preserve">En tu próximo combate, no podés obtener tiradas adicionales, sin importar de dónde provengan.</t>
  </si>
  <si>
    <t xml:space="preserve">Maldición del veinte</t>
  </si>
  <si>
    <t xml:space="preserve">En tu próximo combate, cada vez que saques 20, ese resultado se convierte en 1.</t>
  </si>
  <si>
    <t xml:space="preserve">ValueConvert: convierte el 20 en 1 · alcance: todo el próximo combate</t>
  </si>
  <si>
    <t xml:space="preserve">Reverso del destino</t>
  </si>
  <si>
    <t xml:space="preserve">En la primera tirada de tu próximo combate, gana quien obtenga el número más bajo.</t>
  </si>
  <si>
    <t xml:space="preserve">WinRule: en esa tirada gana el número más bajo · alcance: todo el próximo combate · sólo la tirada 1 del combate</t>
  </si>
  <si>
    <t xml:space="preserve">Impuesto</t>
  </si>
  <si>
    <t xml:space="preserve">En tu próximo combate, restás 3 al resultado final de cada una de tus 3 tiradas.</t>
  </si>
  <si>
    <t xml:space="preserve">FlatBonus: suma fija -3 · alcance: todo el próximo combate</t>
  </si>
  <si>
    <t xml:space="preserve">Cadenas</t>
  </si>
  <si>
    <t xml:space="preserve">En tu próximo combate, solo podés usar 1 Bendición por tirada.</t>
  </si>
  <si>
    <t xml:space="preserve">BlessingRestriction: como máximo 1 bendición por tirada · alcance: todo el próximo combate</t>
  </si>
  <si>
    <t xml:space="preserve">Despojo</t>
  </si>
  <si>
    <t xml:space="preserve">Antes de tu próximo combate, tu rival elige una de tus Bendiciones. No podés usarla durante ese combate.</t>
  </si>
  <si>
    <t xml:space="preserve">BlessingRestriction: el rival te bloquea una bendición · alcance: todo el próximo combate</t>
  </si>
  <si>
    <t xml:space="preserve">Eco negativo</t>
  </si>
  <si>
    <t xml:space="preserve">En tu próximo combate, todo bonificador positivo que recibas se reduce a la mitad y se redondea hacia abajo.</t>
  </si>
  <si>
    <t xml:space="preserve">ModifyIncoming: los bonos positivos se reducen a la mitad · alcance: todo el próximo combate</t>
  </si>
  <si>
    <t xml:space="preserve">Punto muerto</t>
  </si>
  <si>
    <t xml:space="preserve">En tu próximo combate, tu tercera tirada no puede superar 8 después de aplicar todos los efectos.</t>
  </si>
  <si>
    <t xml:space="preserve">MaxResult: el resultado no pasa de 8 · alcance: todo el próximo combate · sólo la tirada 3 del combate</t>
  </si>
  <si>
    <t xml:space="preserve">Marea inversa</t>
  </si>
  <si>
    <t xml:space="preserve">En tu próximo combate, si después de las primeras 2 tiradas vas ganando, restás 5 a tu tercera tirada.</t>
  </si>
  <si>
    <t xml:space="preserve">HistoryBonus: si vas ganando tras 2 tiradas: -5 · alcance: todo el próximo combate · sólo la tirada 3 del combate</t>
  </si>
  <si>
    <t xml:space="preserve">Corona rota</t>
  </si>
  <si>
    <t xml:space="preserve">Si ganás tu próximo combate, no podés robar una Bendición ni entregar una Maldición como recompensa.</t>
  </si>
  <si>
    <t xml:space="preserve">NoRewardOnWin: si ganás, no te llevás recompensa · alcance: todo el próximo combate</t>
  </si>
  <si>
    <t xml:space="preserve">Fractura del destino</t>
  </si>
  <si>
    <t xml:space="preserve">En tu próximo combate, la primera vez que modifiques una tirada usando una Bendición, restás 3 al resultado final.</t>
  </si>
  <si>
    <t xml:space="preserve">BlessingPenalty: la primera bendición que uses te resta 3 · alcance: todo el próximo combate</t>
  </si>
  <si>
    <t xml:space="preserve">Cantidad</t>
  </si>
  <si>
    <t xml:space="preserve">Objetivo</t>
  </si>
  <si>
    <t xml:space="preserve">Color</t>
  </si>
  <si>
    <t xml:space="preserve">Implementadas</t>
  </si>
  <si>
    <t xml:space="preserve">Pendientes</t>
  </si>
  <si>
    <t xml:space="preserve">% hecho</t>
  </si>
  <si>
    <t xml:space="preserve">Gris</t>
  </si>
  <si>
    <t xml:space="preserve">Rojo</t>
  </si>
  <si>
    <t xml:space="preserve">Morado</t>
  </si>
  <si>
    <t xml:space="preserve">TOTAL</t>
  </si>
  <si>
    <t xml:space="preserve">Cómo leer las columnas nuevas de la hoja "Hoja 2"</t>
  </si>
  <si>
    <t xml:space="preserve">Estado: las 96 cartas están implementadas en el prototipo de C++/raylib.</t>
  </si>
  <si>
    <t xml:space="preserve">Efecto en el código: el tipo de efecto y los parámetros con los que está cargada en src/Cards.cpp.</t>
  </si>
  <si>
    <t xml:space="preserve">El motor que las aplica está en src/Effects.cpp; el orden de resolución está explicado en el README.</t>
  </si>
  <si>
    <t xml:space="preserve">Las columnas A-J son las originales del Excel del grupo, sin tocar.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</si>
</sst>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0%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14602A"/>
      <name val="Arial"/>
      <family val="0"/>
      <charset val="1"/>
    </font>
    <font>
      <sz val="10"/>
      <name val="Arial"/>
      <family val="0"/>
      <charset val="1"/>
    </font>
    <font>
      <u val="singl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55C7D"/>
        <bgColor rgb="FF333399"/>
      </patternFill>
    </fill>
    <fill>
      <patternFill patternType="solid">
        <fgColor rgb="FFD9EAD3"/>
        <bgColor rgb="FFC6EFCE"/>
      </patternFill>
    </fill>
    <fill>
      <patternFill patternType="solid">
        <fgColor rgb="FFE8EEF7"/>
        <bgColor rgb="FFF6F8F9"/>
      </patternFill>
    </fill>
    <fill>
      <patternFill patternType="solid">
        <fgColor rgb="FFD9D9D9"/>
        <bgColor rgb="FFD9EAD3"/>
      </patternFill>
    </fill>
    <fill>
      <patternFill patternType="solid">
        <fgColor rgb="FFC6EFCE"/>
        <bgColor rgb="FFD9EAD3"/>
      </patternFill>
    </fill>
    <fill>
      <patternFill patternType="solid">
        <fgColor rgb="FFF4CCCC"/>
        <bgColor rgb="FFD9D9D9"/>
      </patternFill>
    </fill>
    <fill>
      <patternFill patternType="solid">
        <fgColor rgb="FFF6F8F9"/>
        <bgColor rgb="FFFFFFFF"/>
      </patternFill>
    </fill>
    <fill>
      <patternFill patternType="solid">
        <fgColor rgb="FFD9B3FF"/>
        <bgColor rgb="FFC0C0C0"/>
      </patternFill>
    </fill>
    <fill>
      <patternFill patternType="solid">
        <fgColor rgb="FFFFF2CC"/>
        <bgColor rgb="FFF6F8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355C7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6F8F9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B3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1460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02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6F8F9"/>
      <rgbColor rgb="FF99CCFF"/>
      <rgbColor rgb="FFFF99CC"/>
      <rgbColor rgb="FFD9B3FF"/>
      <rgbColor rgb="FFF4CCCC"/>
      <rgbColor rgb="FF3366FF"/>
      <rgbColor rgb="FF33CCCC"/>
      <rgbColor rgb="FF99CC00"/>
      <rgbColor rgb="FFFFCC00"/>
      <rgbColor rgb="FFFF9900"/>
      <rgbColor rgb="FFFF6600"/>
      <rgbColor rgb="FF355C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U_MALDITA_TABLA" displayName="TU_MALDITA_TABLA" ref="A1:J105" headerRowCount="1" totalsRowCount="0" totalsRowShown="0">
  <tableColumns count="10">
    <tableColumn id="1" name="Nombre"/>
    <tableColumn id="2" name="Tipo"/>
    <tableColumn id="3" name="Texto de carta"/>
    <tableColumn id="4" name="Quien la hizo"/>
    <tableColumn id="5" name="Rareza"/>
    <tableColumn id="6" name="Creacion"/>
    <tableColumn id="7" name="Imagen"/>
    <tableColumn id="8" name="Lore"/>
    <tableColumn id="9" name="Glosario"/>
    <tableColumn id="10" name="Comentarios interno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true" showOutlineSymbols="true" defaultGridColor="true" view="normal" topLeftCell="A42" colorId="64" zoomScale="100" zoomScaleNormal="100" zoomScalePageLayoutView="100" workbookViewId="0">
      <pane xSplit="1" ySplit="1" topLeftCell="B2" activePane="bottomRight" state="frozen"/>
      <selection pane="topLeft" activeCell="A42" activeCellId="0" sqref="A42"/>
      <selection pane="topRight" activeCell="B42" activeCellId="0" sqref="B42"/>
      <selection pane="bottomLeft" activeCell="A2" activeCellId="0" sqref="A2"/>
      <selection pane="bottomRight" activeCell="G50" activeCellId="0" sqref="G50"/>
    </sheetView>
  </sheetViews>
  <sheetFormatPr defaultColWidth="12.5703125" defaultRowHeight="12.7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9" min="8" style="0" width="22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62"/>
    <col collapsed="false" customWidth="true" hidden="false" outlineLevel="0" max="13" min="13" style="0" width="16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61.5" hidden="false" customHeight="true" outlineLevel="0" collapsed="false">
      <c r="A2" s="3" t="s">
        <v>14</v>
      </c>
      <c r="B2" s="4" t="s">
        <v>15</v>
      </c>
      <c r="C2" s="3" t="s">
        <v>16</v>
      </c>
      <c r="D2" s="5" t="s">
        <v>17</v>
      </c>
      <c r="E2" s="6" t="s">
        <v>18</v>
      </c>
      <c r="F2" s="7"/>
      <c r="G2" s="3"/>
      <c r="H2" s="3" t="s">
        <v>19</v>
      </c>
      <c r="I2" s="8"/>
      <c r="J2" s="8"/>
      <c r="K2" s="9" t="s">
        <v>20</v>
      </c>
      <c r="L2" s="10" t="s">
        <v>21</v>
      </c>
      <c r="M2" s="10" t="s">
        <v>22</v>
      </c>
      <c r="N2" s="10" t="s">
        <v>23</v>
      </c>
    </row>
    <row r="3" customFormat="false" ht="61.5" hidden="false" customHeight="true" outlineLevel="0" collapsed="false">
      <c r="A3" s="3" t="s">
        <v>24</v>
      </c>
      <c r="B3" s="4" t="s">
        <v>15</v>
      </c>
      <c r="C3" s="11" t="s">
        <v>25</v>
      </c>
      <c r="D3" s="5" t="s">
        <v>17</v>
      </c>
      <c r="E3" s="6" t="s">
        <v>18</v>
      </c>
      <c r="F3" s="7"/>
      <c r="G3" s="3"/>
      <c r="H3" s="3" t="s">
        <v>26</v>
      </c>
      <c r="I3" s="8"/>
      <c r="J3" s="12"/>
      <c r="K3" s="9" t="s">
        <v>20</v>
      </c>
      <c r="L3" s="10" t="s">
        <v>27</v>
      </c>
      <c r="M3" s="10" t="s">
        <v>22</v>
      </c>
      <c r="N3" s="10" t="s">
        <v>23</v>
      </c>
    </row>
    <row r="4" customFormat="false" ht="61.5" hidden="false" customHeight="true" outlineLevel="0" collapsed="false">
      <c r="A4" s="3" t="s">
        <v>28</v>
      </c>
      <c r="B4" s="4" t="s">
        <v>15</v>
      </c>
      <c r="C4" s="11" t="s">
        <v>29</v>
      </c>
      <c r="D4" s="5" t="s">
        <v>17</v>
      </c>
      <c r="E4" s="6" t="s">
        <v>18</v>
      </c>
      <c r="F4" s="7"/>
      <c r="G4" s="3"/>
      <c r="H4" s="3" t="s">
        <v>30</v>
      </c>
      <c r="I4" s="8"/>
      <c r="J4" s="12"/>
      <c r="K4" s="9" t="s">
        <v>20</v>
      </c>
      <c r="L4" s="10" t="s">
        <v>31</v>
      </c>
      <c r="M4" s="10" t="s">
        <v>22</v>
      </c>
      <c r="N4" s="10" t="s">
        <v>23</v>
      </c>
    </row>
    <row r="5" customFormat="false" ht="61.5" hidden="false" customHeight="true" outlineLevel="0" collapsed="false">
      <c r="A5" s="3" t="s">
        <v>32</v>
      </c>
      <c r="B5" s="4" t="s">
        <v>15</v>
      </c>
      <c r="C5" s="11" t="s">
        <v>33</v>
      </c>
      <c r="D5" s="5" t="s">
        <v>17</v>
      </c>
      <c r="E5" s="6" t="s">
        <v>18</v>
      </c>
      <c r="F5" s="7"/>
      <c r="G5" s="3"/>
      <c r="H5" s="3" t="s">
        <v>34</v>
      </c>
      <c r="I5" s="8"/>
      <c r="J5" s="12"/>
      <c r="K5" s="9" t="s">
        <v>20</v>
      </c>
      <c r="L5" s="10" t="s">
        <v>35</v>
      </c>
      <c r="M5" s="10" t="s">
        <v>22</v>
      </c>
      <c r="N5" s="10" t="s">
        <v>23</v>
      </c>
    </row>
    <row r="6" customFormat="false" ht="61.5" hidden="false" customHeight="true" outlineLevel="0" collapsed="false">
      <c r="A6" s="3" t="s">
        <v>36</v>
      </c>
      <c r="B6" s="4" t="s">
        <v>15</v>
      </c>
      <c r="C6" s="11" t="s">
        <v>37</v>
      </c>
      <c r="D6" s="5" t="s">
        <v>17</v>
      </c>
      <c r="E6" s="6" t="s">
        <v>18</v>
      </c>
      <c r="F6" s="7"/>
      <c r="G6" s="3"/>
      <c r="H6" s="3" t="s">
        <v>38</v>
      </c>
      <c r="I6" s="8"/>
      <c r="J6" s="12"/>
      <c r="K6" s="9" t="s">
        <v>20</v>
      </c>
      <c r="L6" s="10" t="s">
        <v>39</v>
      </c>
      <c r="M6" s="10" t="s">
        <v>22</v>
      </c>
      <c r="N6" s="10" t="s">
        <v>23</v>
      </c>
    </row>
    <row r="7" customFormat="false" ht="61.5" hidden="false" customHeight="true" outlineLevel="0" collapsed="false">
      <c r="A7" s="3" t="s">
        <v>40</v>
      </c>
      <c r="B7" s="4" t="s">
        <v>15</v>
      </c>
      <c r="C7" s="11" t="s">
        <v>41</v>
      </c>
      <c r="D7" s="5" t="s">
        <v>17</v>
      </c>
      <c r="E7" s="6" t="s">
        <v>18</v>
      </c>
      <c r="F7" s="7"/>
      <c r="G7" s="3"/>
      <c r="H7" s="3" t="s">
        <v>38</v>
      </c>
      <c r="I7" s="8"/>
      <c r="J7" s="12"/>
      <c r="K7" s="9" t="s">
        <v>20</v>
      </c>
      <c r="L7" s="10" t="s">
        <v>42</v>
      </c>
      <c r="M7" s="10" t="s">
        <v>22</v>
      </c>
      <c r="N7" s="10" t="s">
        <v>23</v>
      </c>
    </row>
    <row r="8" customFormat="false" ht="61.5" hidden="false" customHeight="true" outlineLevel="0" collapsed="false">
      <c r="A8" s="3" t="s">
        <v>43</v>
      </c>
      <c r="B8" s="4" t="s">
        <v>15</v>
      </c>
      <c r="C8" s="3" t="s">
        <v>44</v>
      </c>
      <c r="D8" s="5" t="s">
        <v>17</v>
      </c>
      <c r="E8" s="6" t="s">
        <v>18</v>
      </c>
      <c r="F8" s="7"/>
      <c r="G8" s="3"/>
      <c r="H8" s="3"/>
      <c r="I8" s="8"/>
      <c r="J8" s="12"/>
      <c r="K8" s="9" t="s">
        <v>20</v>
      </c>
      <c r="L8" s="10" t="s">
        <v>45</v>
      </c>
      <c r="M8" s="10" t="s">
        <v>22</v>
      </c>
      <c r="N8" s="10" t="s">
        <v>23</v>
      </c>
    </row>
    <row r="9" customFormat="false" ht="61.5" hidden="false" customHeight="true" outlineLevel="0" collapsed="false">
      <c r="A9" s="3" t="s">
        <v>46</v>
      </c>
      <c r="B9" s="4" t="s">
        <v>15</v>
      </c>
      <c r="C9" s="3" t="s">
        <v>47</v>
      </c>
      <c r="D9" s="5" t="s">
        <v>17</v>
      </c>
      <c r="E9" s="6" t="s">
        <v>18</v>
      </c>
      <c r="F9" s="7"/>
      <c r="G9" s="3"/>
      <c r="H9" s="3"/>
      <c r="I9" s="8"/>
      <c r="J9" s="12"/>
      <c r="K9" s="9" t="s">
        <v>20</v>
      </c>
      <c r="L9" s="10" t="s">
        <v>48</v>
      </c>
      <c r="M9" s="10" t="s">
        <v>22</v>
      </c>
      <c r="N9" s="10" t="s">
        <v>23</v>
      </c>
    </row>
    <row r="10" customFormat="false" ht="61.5" hidden="false" customHeight="true" outlineLevel="0" collapsed="false">
      <c r="A10" s="3" t="s">
        <v>49</v>
      </c>
      <c r="B10" s="4" t="s">
        <v>15</v>
      </c>
      <c r="C10" s="3" t="s">
        <v>50</v>
      </c>
      <c r="D10" s="5" t="s">
        <v>17</v>
      </c>
      <c r="E10" s="6" t="s">
        <v>18</v>
      </c>
      <c r="F10" s="7"/>
      <c r="G10" s="3"/>
      <c r="H10" s="3"/>
      <c r="I10" s="8"/>
      <c r="J10" s="12"/>
      <c r="K10" s="9" t="s">
        <v>20</v>
      </c>
      <c r="L10" s="10" t="s">
        <v>51</v>
      </c>
      <c r="M10" s="10" t="s">
        <v>22</v>
      </c>
      <c r="N10" s="10" t="s">
        <v>23</v>
      </c>
    </row>
    <row r="11" customFormat="false" ht="61.5" hidden="false" customHeight="true" outlineLevel="0" collapsed="false">
      <c r="A11" s="3" t="s">
        <v>49</v>
      </c>
      <c r="B11" s="4" t="s">
        <v>15</v>
      </c>
      <c r="C11" s="3" t="s">
        <v>52</v>
      </c>
      <c r="D11" s="5" t="s">
        <v>17</v>
      </c>
      <c r="E11" s="6" t="s">
        <v>18</v>
      </c>
      <c r="F11" s="7"/>
      <c r="G11" s="3"/>
      <c r="H11" s="3"/>
      <c r="I11" s="8"/>
      <c r="J11" s="12"/>
      <c r="K11" s="9" t="s">
        <v>20</v>
      </c>
      <c r="L11" s="10" t="s">
        <v>53</v>
      </c>
      <c r="M11" s="10" t="s">
        <v>22</v>
      </c>
      <c r="N11" s="10" t="s">
        <v>23</v>
      </c>
    </row>
    <row r="12" customFormat="false" ht="61.5" hidden="false" customHeight="true" outlineLevel="0" collapsed="false">
      <c r="A12" s="3" t="s">
        <v>54</v>
      </c>
      <c r="B12" s="4" t="s">
        <v>15</v>
      </c>
      <c r="C12" s="11" t="s">
        <v>55</v>
      </c>
      <c r="D12" s="5" t="s">
        <v>17</v>
      </c>
      <c r="E12" s="6" t="s">
        <v>18</v>
      </c>
      <c r="F12" s="7"/>
      <c r="G12" s="3"/>
      <c r="H12" s="3"/>
      <c r="I12" s="8"/>
      <c r="J12" s="12"/>
      <c r="K12" s="9" t="s">
        <v>20</v>
      </c>
      <c r="L12" s="10" t="s">
        <v>56</v>
      </c>
      <c r="M12" s="10" t="s">
        <v>22</v>
      </c>
      <c r="N12" s="10" t="s">
        <v>23</v>
      </c>
    </row>
    <row r="13" customFormat="false" ht="61.5" hidden="false" customHeight="true" outlineLevel="0" collapsed="false">
      <c r="A13" s="3" t="s">
        <v>57</v>
      </c>
      <c r="B13" s="4" t="s">
        <v>15</v>
      </c>
      <c r="C13" s="11" t="s">
        <v>58</v>
      </c>
      <c r="D13" s="5" t="s">
        <v>17</v>
      </c>
      <c r="E13" s="6" t="s">
        <v>18</v>
      </c>
      <c r="F13" s="7"/>
      <c r="G13" s="3"/>
      <c r="H13" s="3"/>
      <c r="I13" s="8"/>
      <c r="J13" s="12"/>
      <c r="K13" s="9" t="s">
        <v>20</v>
      </c>
      <c r="L13" s="10" t="s">
        <v>59</v>
      </c>
      <c r="M13" s="10" t="s">
        <v>22</v>
      </c>
      <c r="N13" s="10" t="s">
        <v>23</v>
      </c>
    </row>
    <row r="14" customFormat="false" ht="61.5" hidden="false" customHeight="true" outlineLevel="0" collapsed="false">
      <c r="A14" s="3" t="s">
        <v>60</v>
      </c>
      <c r="B14" s="4" t="s">
        <v>15</v>
      </c>
      <c r="C14" s="11" t="s">
        <v>61</v>
      </c>
      <c r="D14" s="5" t="s">
        <v>17</v>
      </c>
      <c r="E14" s="6" t="s">
        <v>18</v>
      </c>
      <c r="F14" s="7"/>
      <c r="G14" s="3"/>
      <c r="H14" s="3"/>
      <c r="I14" s="8"/>
      <c r="J14" s="12"/>
      <c r="K14" s="9" t="s">
        <v>20</v>
      </c>
      <c r="L14" s="10" t="s">
        <v>62</v>
      </c>
      <c r="M14" s="10" t="s">
        <v>22</v>
      </c>
      <c r="N14" s="10" t="s">
        <v>23</v>
      </c>
    </row>
    <row r="15" customFormat="false" ht="61.5" hidden="false" customHeight="true" outlineLevel="0" collapsed="false">
      <c r="A15" s="3" t="s">
        <v>63</v>
      </c>
      <c r="B15" s="4" t="s">
        <v>15</v>
      </c>
      <c r="C15" s="11" t="s">
        <v>64</v>
      </c>
      <c r="D15" s="5" t="s">
        <v>17</v>
      </c>
      <c r="E15" s="6" t="s">
        <v>18</v>
      </c>
      <c r="F15" s="7"/>
      <c r="G15" s="3"/>
      <c r="H15" s="3"/>
      <c r="I15" s="8"/>
      <c r="J15" s="12"/>
      <c r="K15" s="9" t="s">
        <v>20</v>
      </c>
      <c r="L15" s="10" t="s">
        <v>65</v>
      </c>
      <c r="M15" s="10" t="s">
        <v>22</v>
      </c>
      <c r="N15" s="10" t="s">
        <v>23</v>
      </c>
    </row>
    <row r="16" customFormat="false" ht="61.5" hidden="false" customHeight="true" outlineLevel="0" collapsed="false">
      <c r="A16" s="3" t="s">
        <v>66</v>
      </c>
      <c r="B16" s="13" t="s">
        <v>67</v>
      </c>
      <c r="C16" s="3" t="s">
        <v>68</v>
      </c>
      <c r="D16" s="5" t="s">
        <v>17</v>
      </c>
      <c r="E16" s="6" t="s">
        <v>18</v>
      </c>
      <c r="F16" s="7"/>
      <c r="G16" s="3"/>
      <c r="H16" s="3" t="s">
        <v>19</v>
      </c>
      <c r="I16" s="12"/>
      <c r="J16" s="12"/>
      <c r="K16" s="9" t="s">
        <v>20</v>
      </c>
      <c r="L16" s="10" t="s">
        <v>69</v>
      </c>
      <c r="M16" s="10" t="s">
        <v>22</v>
      </c>
      <c r="N16" s="10" t="s">
        <v>23</v>
      </c>
    </row>
    <row r="17" customFormat="false" ht="61.5" hidden="false" customHeight="true" outlineLevel="0" collapsed="false">
      <c r="A17" s="3" t="s">
        <v>70</v>
      </c>
      <c r="B17" s="13" t="s">
        <v>67</v>
      </c>
      <c r="C17" s="14" t="s">
        <v>71</v>
      </c>
      <c r="D17" s="5" t="s">
        <v>17</v>
      </c>
      <c r="E17" s="6" t="s">
        <v>18</v>
      </c>
      <c r="F17" s="7"/>
      <c r="G17" s="3"/>
      <c r="H17" s="3" t="s">
        <v>72</v>
      </c>
      <c r="I17" s="8"/>
      <c r="J17" s="12"/>
      <c r="K17" s="9" t="s">
        <v>20</v>
      </c>
      <c r="L17" s="10" t="s">
        <v>73</v>
      </c>
      <c r="M17" s="10" t="s">
        <v>22</v>
      </c>
      <c r="N17" s="10" t="s">
        <v>23</v>
      </c>
    </row>
    <row r="18" customFormat="false" ht="61.5" hidden="false" customHeight="true" outlineLevel="0" collapsed="false">
      <c r="A18" s="3" t="s">
        <v>74</v>
      </c>
      <c r="B18" s="13" t="s">
        <v>67</v>
      </c>
      <c r="C18" s="14" t="s">
        <v>75</v>
      </c>
      <c r="D18" s="5" t="s">
        <v>17</v>
      </c>
      <c r="E18" s="6" t="s">
        <v>18</v>
      </c>
      <c r="F18" s="7"/>
      <c r="G18" s="3"/>
      <c r="H18" s="3" t="s">
        <v>72</v>
      </c>
      <c r="I18" s="8"/>
      <c r="J18" s="12"/>
      <c r="K18" s="9" t="s">
        <v>20</v>
      </c>
      <c r="L18" s="10" t="s">
        <v>76</v>
      </c>
      <c r="M18" s="10" t="s">
        <v>22</v>
      </c>
      <c r="N18" s="10" t="s">
        <v>23</v>
      </c>
    </row>
    <row r="19" customFormat="false" ht="61.5" hidden="false" customHeight="true" outlineLevel="0" collapsed="false">
      <c r="A19" s="3" t="s">
        <v>77</v>
      </c>
      <c r="B19" s="13" t="s">
        <v>67</v>
      </c>
      <c r="C19" s="14" t="s">
        <v>78</v>
      </c>
      <c r="D19" s="5" t="s">
        <v>17</v>
      </c>
      <c r="E19" s="6" t="s">
        <v>18</v>
      </c>
      <c r="F19" s="7"/>
      <c r="G19" s="3"/>
      <c r="H19" s="3" t="s">
        <v>72</v>
      </c>
      <c r="I19" s="8"/>
      <c r="J19" s="12"/>
      <c r="K19" s="9" t="s">
        <v>20</v>
      </c>
      <c r="L19" s="10" t="s">
        <v>79</v>
      </c>
      <c r="M19" s="10" t="s">
        <v>22</v>
      </c>
      <c r="N19" s="10" t="s">
        <v>23</v>
      </c>
    </row>
    <row r="20" customFormat="false" ht="61.5" hidden="false" customHeight="true" outlineLevel="0" collapsed="false">
      <c r="A20" s="3" t="s">
        <v>80</v>
      </c>
      <c r="B20" s="4" t="s">
        <v>15</v>
      </c>
      <c r="C20" s="3" t="s">
        <v>81</v>
      </c>
      <c r="D20" s="5" t="s">
        <v>17</v>
      </c>
      <c r="E20" s="15" t="s">
        <v>82</v>
      </c>
      <c r="F20" s="7"/>
      <c r="G20" s="3"/>
      <c r="H20" s="3" t="s">
        <v>19</v>
      </c>
      <c r="I20" s="12"/>
      <c r="J20" s="12"/>
      <c r="K20" s="9" t="s">
        <v>20</v>
      </c>
      <c r="L20" s="10" t="s">
        <v>83</v>
      </c>
      <c r="M20" s="10" t="s">
        <v>22</v>
      </c>
      <c r="N20" s="10" t="s">
        <v>23</v>
      </c>
    </row>
    <row r="21" customFormat="false" ht="61.5" hidden="false" customHeight="true" outlineLevel="0" collapsed="false">
      <c r="A21" s="3" t="s">
        <v>84</v>
      </c>
      <c r="B21" s="4" t="s">
        <v>15</v>
      </c>
      <c r="C21" s="11" t="s">
        <v>85</v>
      </c>
      <c r="D21" s="5" t="s">
        <v>17</v>
      </c>
      <c r="E21" s="15" t="s">
        <v>82</v>
      </c>
      <c r="F21" s="7"/>
      <c r="G21" s="3"/>
      <c r="H21" s="3" t="s">
        <v>26</v>
      </c>
      <c r="I21" s="8"/>
      <c r="J21" s="12"/>
      <c r="K21" s="9" t="s">
        <v>20</v>
      </c>
      <c r="L21" s="10" t="s">
        <v>86</v>
      </c>
      <c r="M21" s="10" t="s">
        <v>22</v>
      </c>
      <c r="N21" s="10" t="s">
        <v>23</v>
      </c>
    </row>
    <row r="22" customFormat="false" ht="61.5" hidden="false" customHeight="true" outlineLevel="0" collapsed="false">
      <c r="A22" s="3" t="s">
        <v>87</v>
      </c>
      <c r="B22" s="4" t="s">
        <v>15</v>
      </c>
      <c r="C22" s="11" t="s">
        <v>88</v>
      </c>
      <c r="D22" s="5" t="s">
        <v>17</v>
      </c>
      <c r="E22" s="15" t="s">
        <v>82</v>
      </c>
      <c r="F22" s="7"/>
      <c r="G22" s="3"/>
      <c r="H22" s="3" t="s">
        <v>89</v>
      </c>
      <c r="I22" s="8"/>
      <c r="J22" s="12"/>
      <c r="K22" s="9" t="s">
        <v>20</v>
      </c>
      <c r="L22" s="10" t="s">
        <v>90</v>
      </c>
      <c r="M22" s="10" t="s">
        <v>22</v>
      </c>
      <c r="N22" s="10" t="s">
        <v>23</v>
      </c>
    </row>
    <row r="23" customFormat="false" ht="61.5" hidden="false" customHeight="true" outlineLevel="0" collapsed="false">
      <c r="A23" s="3" t="s">
        <v>91</v>
      </c>
      <c r="B23" s="4" t="s">
        <v>15</v>
      </c>
      <c r="C23" s="11" t="s">
        <v>92</v>
      </c>
      <c r="D23" s="5" t="s">
        <v>17</v>
      </c>
      <c r="E23" s="15" t="s">
        <v>82</v>
      </c>
      <c r="F23" s="7"/>
      <c r="G23" s="3"/>
      <c r="H23" s="3" t="s">
        <v>89</v>
      </c>
      <c r="I23" s="8"/>
      <c r="J23" s="12"/>
      <c r="K23" s="9" t="s">
        <v>20</v>
      </c>
      <c r="L23" s="10" t="s">
        <v>93</v>
      </c>
      <c r="M23" s="10" t="s">
        <v>22</v>
      </c>
      <c r="N23" s="10" t="s">
        <v>23</v>
      </c>
    </row>
    <row r="24" customFormat="false" ht="61.5" hidden="false" customHeight="true" outlineLevel="0" collapsed="false">
      <c r="A24" s="3" t="s">
        <v>94</v>
      </c>
      <c r="B24" s="4" t="s">
        <v>15</v>
      </c>
      <c r="C24" s="3" t="s">
        <v>95</v>
      </c>
      <c r="D24" s="5" t="s">
        <v>17</v>
      </c>
      <c r="E24" s="15" t="s">
        <v>82</v>
      </c>
      <c r="F24" s="7"/>
      <c r="G24" s="3"/>
      <c r="H24" s="3"/>
      <c r="I24" s="8"/>
      <c r="J24" s="12"/>
      <c r="K24" s="9" t="s">
        <v>20</v>
      </c>
      <c r="L24" s="10" t="s">
        <v>96</v>
      </c>
      <c r="M24" s="10" t="s">
        <v>22</v>
      </c>
      <c r="N24" s="10" t="s">
        <v>23</v>
      </c>
    </row>
    <row r="25" customFormat="false" ht="61.5" hidden="false" customHeight="true" outlineLevel="0" collapsed="false">
      <c r="A25" s="3" t="s">
        <v>94</v>
      </c>
      <c r="B25" s="4" t="s">
        <v>15</v>
      </c>
      <c r="C25" s="3" t="s">
        <v>97</v>
      </c>
      <c r="D25" s="5" t="s">
        <v>17</v>
      </c>
      <c r="E25" s="15" t="s">
        <v>82</v>
      </c>
      <c r="F25" s="7"/>
      <c r="G25" s="3"/>
      <c r="H25" s="3"/>
      <c r="I25" s="8"/>
      <c r="J25" s="12"/>
      <c r="K25" s="9" t="s">
        <v>20</v>
      </c>
      <c r="L25" s="10" t="s">
        <v>98</v>
      </c>
      <c r="M25" s="10" t="s">
        <v>22</v>
      </c>
      <c r="N25" s="10" t="s">
        <v>23</v>
      </c>
    </row>
    <row r="26" customFormat="false" ht="61.5" hidden="false" customHeight="true" outlineLevel="0" collapsed="false">
      <c r="A26" s="3" t="s">
        <v>99</v>
      </c>
      <c r="B26" s="4" t="s">
        <v>15</v>
      </c>
      <c r="C26" s="11" t="s">
        <v>100</v>
      </c>
      <c r="D26" s="5" t="s">
        <v>17</v>
      </c>
      <c r="E26" s="15" t="s">
        <v>82</v>
      </c>
      <c r="F26" s="7"/>
      <c r="G26" s="3"/>
      <c r="H26" s="3"/>
      <c r="I26" s="8"/>
      <c r="J26" s="12"/>
      <c r="K26" s="9" t="s">
        <v>20</v>
      </c>
      <c r="L26" s="10" t="s">
        <v>101</v>
      </c>
      <c r="M26" s="10" t="s">
        <v>22</v>
      </c>
      <c r="N26" s="10" t="s">
        <v>23</v>
      </c>
    </row>
    <row r="27" customFormat="false" ht="61.5" hidden="false" customHeight="true" outlineLevel="0" collapsed="false">
      <c r="A27" s="3" t="s">
        <v>102</v>
      </c>
      <c r="B27" s="4" t="s">
        <v>15</v>
      </c>
      <c r="C27" s="11" t="s">
        <v>103</v>
      </c>
      <c r="D27" s="5" t="s">
        <v>17</v>
      </c>
      <c r="E27" s="15" t="s">
        <v>82</v>
      </c>
      <c r="F27" s="7"/>
      <c r="G27" s="3"/>
      <c r="H27" s="3"/>
      <c r="I27" s="8"/>
      <c r="J27" s="12"/>
      <c r="K27" s="9" t="s">
        <v>20</v>
      </c>
      <c r="L27" s="10" t="s">
        <v>104</v>
      </c>
      <c r="M27" s="10" t="s">
        <v>22</v>
      </c>
      <c r="N27" s="10" t="s">
        <v>23</v>
      </c>
    </row>
    <row r="28" customFormat="false" ht="61.5" hidden="false" customHeight="true" outlineLevel="0" collapsed="false">
      <c r="A28" s="3" t="s">
        <v>105</v>
      </c>
      <c r="B28" s="13" t="s">
        <v>67</v>
      </c>
      <c r="C28" s="3" t="s">
        <v>106</v>
      </c>
      <c r="D28" s="5" t="s">
        <v>17</v>
      </c>
      <c r="E28" s="15" t="s">
        <v>82</v>
      </c>
      <c r="F28" s="7"/>
      <c r="G28" s="3"/>
      <c r="H28" s="3" t="s">
        <v>19</v>
      </c>
      <c r="I28" s="12"/>
      <c r="J28" s="12"/>
      <c r="K28" s="9" t="s">
        <v>20</v>
      </c>
      <c r="L28" s="10" t="s">
        <v>107</v>
      </c>
      <c r="M28" s="10" t="s">
        <v>22</v>
      </c>
      <c r="N28" s="10" t="s">
        <v>23</v>
      </c>
    </row>
    <row r="29" customFormat="false" ht="61.5" hidden="false" customHeight="true" outlineLevel="0" collapsed="false">
      <c r="A29" s="3" t="s">
        <v>108</v>
      </c>
      <c r="B29" s="13" t="s">
        <v>67</v>
      </c>
      <c r="C29" s="11" t="s">
        <v>109</v>
      </c>
      <c r="D29" s="5" t="s">
        <v>17</v>
      </c>
      <c r="E29" s="15" t="s">
        <v>82</v>
      </c>
      <c r="F29" s="7"/>
      <c r="G29" s="3"/>
      <c r="H29" s="3" t="s">
        <v>89</v>
      </c>
      <c r="I29" s="8"/>
      <c r="J29" s="12"/>
      <c r="K29" s="9" t="s">
        <v>20</v>
      </c>
      <c r="L29" s="10" t="s">
        <v>110</v>
      </c>
      <c r="M29" s="10" t="s">
        <v>22</v>
      </c>
      <c r="N29" s="10" t="s">
        <v>23</v>
      </c>
    </row>
    <row r="30" customFormat="false" ht="61.5" hidden="false" customHeight="true" outlineLevel="0" collapsed="false">
      <c r="A30" s="3" t="s">
        <v>111</v>
      </c>
      <c r="B30" s="13" t="s">
        <v>67</v>
      </c>
      <c r="C30" s="11" t="s">
        <v>112</v>
      </c>
      <c r="D30" s="5" t="s">
        <v>17</v>
      </c>
      <c r="E30" s="15" t="s">
        <v>82</v>
      </c>
      <c r="F30" s="7"/>
      <c r="G30" s="3"/>
      <c r="H30" s="3" t="s">
        <v>89</v>
      </c>
      <c r="I30" s="8"/>
      <c r="J30" s="12"/>
      <c r="K30" s="9" t="s">
        <v>20</v>
      </c>
      <c r="L30" s="10" t="s">
        <v>113</v>
      </c>
      <c r="M30" s="10" t="s">
        <v>22</v>
      </c>
      <c r="N30" s="10" t="s">
        <v>23</v>
      </c>
    </row>
    <row r="31" customFormat="false" ht="61.5" hidden="false" customHeight="true" outlineLevel="0" collapsed="false">
      <c r="A31" s="3" t="s">
        <v>114</v>
      </c>
      <c r="B31" s="13" t="s">
        <v>67</v>
      </c>
      <c r="C31" s="11" t="s">
        <v>115</v>
      </c>
      <c r="D31" s="5" t="s">
        <v>17</v>
      </c>
      <c r="E31" s="15" t="s">
        <v>82</v>
      </c>
      <c r="F31" s="7"/>
      <c r="G31" s="3"/>
      <c r="H31" s="3" t="s">
        <v>38</v>
      </c>
      <c r="I31" s="8"/>
      <c r="J31" s="12"/>
      <c r="K31" s="9" t="s">
        <v>20</v>
      </c>
      <c r="L31" s="10" t="s">
        <v>116</v>
      </c>
      <c r="M31" s="10" t="s">
        <v>22</v>
      </c>
      <c r="N31" s="10" t="s">
        <v>23</v>
      </c>
    </row>
    <row r="32" customFormat="false" ht="61.5" hidden="false" customHeight="true" outlineLevel="0" collapsed="false">
      <c r="A32" s="3" t="s">
        <v>117</v>
      </c>
      <c r="B32" s="4" t="s">
        <v>15</v>
      </c>
      <c r="C32" s="3" t="s">
        <v>118</v>
      </c>
      <c r="D32" s="5" t="s">
        <v>17</v>
      </c>
      <c r="E32" s="13" t="s">
        <v>119</v>
      </c>
      <c r="F32" s="7"/>
      <c r="G32" s="3"/>
      <c r="H32" s="3" t="s">
        <v>19</v>
      </c>
      <c r="I32" s="8"/>
      <c r="J32" s="12"/>
      <c r="K32" s="9" t="s">
        <v>20</v>
      </c>
      <c r="L32" s="10" t="s">
        <v>120</v>
      </c>
      <c r="M32" s="10" t="s">
        <v>22</v>
      </c>
      <c r="N32" s="10" t="s">
        <v>23</v>
      </c>
    </row>
    <row r="33" customFormat="false" ht="61.5" hidden="false" customHeight="true" outlineLevel="0" collapsed="false">
      <c r="A33" s="3" t="s">
        <v>121</v>
      </c>
      <c r="B33" s="4" t="s">
        <v>15</v>
      </c>
      <c r="C33" s="11" t="s">
        <v>122</v>
      </c>
      <c r="D33" s="5" t="s">
        <v>17</v>
      </c>
      <c r="E33" s="13" t="s">
        <v>119</v>
      </c>
      <c r="F33" s="7"/>
      <c r="G33" s="3"/>
      <c r="H33" s="3" t="s">
        <v>26</v>
      </c>
      <c r="I33" s="8"/>
      <c r="J33" s="12"/>
      <c r="K33" s="9" t="s">
        <v>20</v>
      </c>
      <c r="L33" s="10" t="s">
        <v>123</v>
      </c>
      <c r="M33" s="10" t="s">
        <v>22</v>
      </c>
      <c r="N33" s="10" t="s">
        <v>23</v>
      </c>
    </row>
    <row r="34" customFormat="false" ht="61.5" hidden="false" customHeight="true" outlineLevel="0" collapsed="false">
      <c r="A34" s="3" t="s">
        <v>124</v>
      </c>
      <c r="B34" s="4" t="s">
        <v>15</v>
      </c>
      <c r="C34" s="11" t="s">
        <v>125</v>
      </c>
      <c r="D34" s="5" t="s">
        <v>17</v>
      </c>
      <c r="E34" s="13" t="s">
        <v>119</v>
      </c>
      <c r="F34" s="7"/>
      <c r="G34" s="3"/>
      <c r="H34" s="3" t="s">
        <v>89</v>
      </c>
      <c r="I34" s="8"/>
      <c r="J34" s="12"/>
      <c r="K34" s="9" t="s">
        <v>20</v>
      </c>
      <c r="L34" s="10" t="s">
        <v>126</v>
      </c>
      <c r="M34" s="10" t="s">
        <v>22</v>
      </c>
      <c r="N34" s="10" t="s">
        <v>23</v>
      </c>
    </row>
    <row r="35" customFormat="false" ht="61.5" hidden="false" customHeight="true" outlineLevel="0" collapsed="false">
      <c r="A35" s="3" t="s">
        <v>127</v>
      </c>
      <c r="B35" s="4" t="s">
        <v>15</v>
      </c>
      <c r="C35" s="11" t="s">
        <v>128</v>
      </c>
      <c r="D35" s="5" t="s">
        <v>17</v>
      </c>
      <c r="E35" s="13" t="s">
        <v>119</v>
      </c>
      <c r="F35" s="7"/>
      <c r="G35" s="3"/>
      <c r="H35" s="3" t="s">
        <v>89</v>
      </c>
      <c r="I35" s="8"/>
      <c r="J35" s="12"/>
      <c r="K35" s="9" t="s">
        <v>20</v>
      </c>
      <c r="L35" s="10" t="s">
        <v>129</v>
      </c>
      <c r="M35" s="10" t="s">
        <v>22</v>
      </c>
      <c r="N35" s="10" t="s">
        <v>23</v>
      </c>
    </row>
    <row r="36" customFormat="false" ht="61.5" hidden="false" customHeight="true" outlineLevel="0" collapsed="false">
      <c r="A36" s="3" t="s">
        <v>130</v>
      </c>
      <c r="B36" s="4" t="s">
        <v>15</v>
      </c>
      <c r="C36" s="11" t="s">
        <v>131</v>
      </c>
      <c r="D36" s="5" t="s">
        <v>17</v>
      </c>
      <c r="E36" s="13" t="s">
        <v>119</v>
      </c>
      <c r="F36" s="7"/>
      <c r="G36" s="3"/>
      <c r="H36" s="3" t="s">
        <v>89</v>
      </c>
      <c r="I36" s="8"/>
      <c r="J36" s="12"/>
      <c r="K36" s="9" t="s">
        <v>20</v>
      </c>
      <c r="L36" s="10" t="s">
        <v>132</v>
      </c>
      <c r="M36" s="10" t="s">
        <v>22</v>
      </c>
      <c r="N36" s="10" t="s">
        <v>23</v>
      </c>
    </row>
    <row r="37" customFormat="false" ht="61.5" hidden="false" customHeight="true" outlineLevel="0" collapsed="false">
      <c r="A37" s="3" t="s">
        <v>133</v>
      </c>
      <c r="B37" s="4" t="s">
        <v>15</v>
      </c>
      <c r="C37" s="11" t="s">
        <v>134</v>
      </c>
      <c r="D37" s="5" t="s">
        <v>17</v>
      </c>
      <c r="E37" s="13" t="s">
        <v>119</v>
      </c>
      <c r="F37" s="7"/>
      <c r="G37" s="3"/>
      <c r="H37" s="3" t="s">
        <v>38</v>
      </c>
      <c r="I37" s="8"/>
      <c r="J37" s="12"/>
      <c r="K37" s="9" t="s">
        <v>20</v>
      </c>
      <c r="L37" s="10" t="s">
        <v>135</v>
      </c>
      <c r="M37" s="10" t="s">
        <v>22</v>
      </c>
      <c r="N37" s="10" t="s">
        <v>23</v>
      </c>
    </row>
    <row r="38" customFormat="false" ht="61.5" hidden="false" customHeight="true" outlineLevel="0" collapsed="false">
      <c r="A38" s="3" t="s">
        <v>136</v>
      </c>
      <c r="B38" s="4" t="s">
        <v>15</v>
      </c>
      <c r="C38" s="11" t="s">
        <v>137</v>
      </c>
      <c r="D38" s="5" t="s">
        <v>17</v>
      </c>
      <c r="E38" s="13" t="s">
        <v>119</v>
      </c>
      <c r="F38" s="7"/>
      <c r="G38" s="3"/>
      <c r="H38" s="3" t="s">
        <v>38</v>
      </c>
      <c r="I38" s="8"/>
      <c r="J38" s="12"/>
      <c r="K38" s="9" t="s">
        <v>20</v>
      </c>
      <c r="L38" s="10" t="s">
        <v>138</v>
      </c>
      <c r="M38" s="10" t="s">
        <v>22</v>
      </c>
      <c r="N38" s="10" t="s">
        <v>23</v>
      </c>
    </row>
    <row r="39" customFormat="false" ht="61.5" hidden="false" customHeight="true" outlineLevel="0" collapsed="false">
      <c r="A39" s="3" t="s">
        <v>139</v>
      </c>
      <c r="B39" s="4" t="s">
        <v>15</v>
      </c>
      <c r="C39" s="11" t="s">
        <v>140</v>
      </c>
      <c r="D39" s="5" t="s">
        <v>17</v>
      </c>
      <c r="E39" s="13" t="s">
        <v>119</v>
      </c>
      <c r="F39" s="7"/>
      <c r="G39" s="3"/>
      <c r="H39" s="3" t="s">
        <v>141</v>
      </c>
      <c r="I39" s="8"/>
      <c r="J39" s="12"/>
      <c r="K39" s="9" t="s">
        <v>20</v>
      </c>
      <c r="L39" s="10" t="s">
        <v>142</v>
      </c>
      <c r="M39" s="10" t="s">
        <v>22</v>
      </c>
      <c r="N39" s="10" t="s">
        <v>23</v>
      </c>
    </row>
    <row r="40" customFormat="false" ht="61.5" hidden="false" customHeight="true" outlineLevel="0" collapsed="false">
      <c r="A40" s="3" t="s">
        <v>143</v>
      </c>
      <c r="B40" s="4" t="s">
        <v>15</v>
      </c>
      <c r="C40" s="3" t="s">
        <v>144</v>
      </c>
      <c r="D40" s="5" t="s">
        <v>17</v>
      </c>
      <c r="E40" s="13" t="s">
        <v>119</v>
      </c>
      <c r="F40" s="7"/>
      <c r="G40" s="3"/>
      <c r="H40" s="3"/>
      <c r="I40" s="8"/>
      <c r="J40" s="12"/>
      <c r="K40" s="9" t="s">
        <v>20</v>
      </c>
      <c r="L40" s="10" t="s">
        <v>145</v>
      </c>
      <c r="M40" s="10" t="s">
        <v>22</v>
      </c>
      <c r="N40" s="10" t="s">
        <v>23</v>
      </c>
    </row>
    <row r="41" customFormat="false" ht="61.5" hidden="false" customHeight="true" outlineLevel="0" collapsed="false">
      <c r="A41" s="3" t="s">
        <v>143</v>
      </c>
      <c r="B41" s="4" t="s">
        <v>15</v>
      </c>
      <c r="C41" s="3" t="s">
        <v>146</v>
      </c>
      <c r="D41" s="5" t="s">
        <v>17</v>
      </c>
      <c r="E41" s="13" t="s">
        <v>119</v>
      </c>
      <c r="F41" s="7"/>
      <c r="G41" s="3"/>
      <c r="H41" s="3"/>
      <c r="I41" s="8"/>
      <c r="J41" s="12"/>
      <c r="K41" s="9" t="s">
        <v>20</v>
      </c>
      <c r="L41" s="10" t="s">
        <v>147</v>
      </c>
      <c r="M41" s="10" t="s">
        <v>22</v>
      </c>
      <c r="N41" s="10" t="s">
        <v>23</v>
      </c>
    </row>
    <row r="42" customFormat="false" ht="61.5" hidden="false" customHeight="true" outlineLevel="0" collapsed="false">
      <c r="A42" s="3" t="s">
        <v>148</v>
      </c>
      <c r="B42" s="4" t="s">
        <v>15</v>
      </c>
      <c r="C42" s="11" t="s">
        <v>149</v>
      </c>
      <c r="D42" s="5" t="s">
        <v>17</v>
      </c>
      <c r="E42" s="13" t="s">
        <v>119</v>
      </c>
      <c r="F42" s="7"/>
      <c r="G42" s="3"/>
      <c r="H42" s="3"/>
      <c r="I42" s="8"/>
      <c r="J42" s="12"/>
      <c r="K42" s="9" t="s">
        <v>20</v>
      </c>
      <c r="L42" s="10" t="s">
        <v>150</v>
      </c>
      <c r="M42" s="10" t="s">
        <v>22</v>
      </c>
      <c r="N42" s="10" t="s">
        <v>23</v>
      </c>
    </row>
    <row r="43" customFormat="false" ht="61.5" hidden="false" customHeight="true" outlineLevel="0" collapsed="false">
      <c r="A43" s="3" t="s">
        <v>63</v>
      </c>
      <c r="B43" s="4" t="s">
        <v>15</v>
      </c>
      <c r="C43" s="11" t="s">
        <v>151</v>
      </c>
      <c r="D43" s="5" t="s">
        <v>17</v>
      </c>
      <c r="E43" s="13" t="s">
        <v>119</v>
      </c>
      <c r="F43" s="7"/>
      <c r="G43" s="3"/>
      <c r="H43" s="3"/>
      <c r="I43" s="8"/>
      <c r="J43" s="12"/>
      <c r="K43" s="9" t="s">
        <v>20</v>
      </c>
      <c r="L43" s="10" t="s">
        <v>152</v>
      </c>
      <c r="M43" s="10" t="s">
        <v>22</v>
      </c>
      <c r="N43" s="10" t="s">
        <v>23</v>
      </c>
    </row>
    <row r="44" customFormat="false" ht="61.5" hidden="false" customHeight="true" outlineLevel="0" collapsed="false">
      <c r="A44" s="3" t="s">
        <v>153</v>
      </c>
      <c r="B44" s="13" t="s">
        <v>67</v>
      </c>
      <c r="C44" s="3" t="s">
        <v>81</v>
      </c>
      <c r="D44" s="5" t="s">
        <v>17</v>
      </c>
      <c r="E44" s="13" t="s">
        <v>119</v>
      </c>
      <c r="F44" s="7"/>
      <c r="G44" s="3"/>
      <c r="H44" s="3" t="s">
        <v>19</v>
      </c>
      <c r="I44" s="12"/>
      <c r="J44" s="12"/>
      <c r="K44" s="9" t="s">
        <v>20</v>
      </c>
      <c r="L44" s="10" t="s">
        <v>83</v>
      </c>
      <c r="M44" s="10" t="s">
        <v>22</v>
      </c>
      <c r="N44" s="10" t="s">
        <v>23</v>
      </c>
    </row>
    <row r="45" customFormat="false" ht="61.5" hidden="false" customHeight="true" outlineLevel="0" collapsed="false">
      <c r="A45" s="3" t="s">
        <v>154</v>
      </c>
      <c r="B45" s="13" t="s">
        <v>67</v>
      </c>
      <c r="C45" s="11" t="s">
        <v>109</v>
      </c>
      <c r="D45" s="5" t="s">
        <v>17</v>
      </c>
      <c r="E45" s="13" t="s">
        <v>119</v>
      </c>
      <c r="F45" s="7"/>
      <c r="G45" s="3"/>
      <c r="H45" s="3" t="s">
        <v>89</v>
      </c>
      <c r="I45" s="8"/>
      <c r="J45" s="12"/>
      <c r="K45" s="9" t="s">
        <v>20</v>
      </c>
      <c r="L45" s="10" t="s">
        <v>110</v>
      </c>
      <c r="M45" s="10" t="s">
        <v>22</v>
      </c>
      <c r="N45" s="10" t="s">
        <v>23</v>
      </c>
    </row>
    <row r="46" customFormat="false" ht="61.5" hidden="false" customHeight="true" outlineLevel="0" collapsed="false">
      <c r="A46" s="3" t="s">
        <v>155</v>
      </c>
      <c r="B46" s="13" t="s">
        <v>67</v>
      </c>
      <c r="C46" s="11" t="s">
        <v>156</v>
      </c>
      <c r="D46" s="5" t="s">
        <v>17</v>
      </c>
      <c r="E46" s="13" t="s">
        <v>119</v>
      </c>
      <c r="F46" s="7"/>
      <c r="G46" s="3"/>
      <c r="H46" s="3" t="s">
        <v>89</v>
      </c>
      <c r="I46" s="8"/>
      <c r="J46" s="12"/>
      <c r="K46" s="9" t="s">
        <v>20</v>
      </c>
      <c r="L46" s="10" t="s">
        <v>157</v>
      </c>
      <c r="M46" s="10" t="s">
        <v>22</v>
      </c>
      <c r="N46" s="10" t="s">
        <v>23</v>
      </c>
    </row>
    <row r="47" customFormat="false" ht="61.5" hidden="false" customHeight="true" outlineLevel="0" collapsed="false">
      <c r="A47" s="3" t="s">
        <v>158</v>
      </c>
      <c r="B47" s="13" t="s">
        <v>67</v>
      </c>
      <c r="C47" s="11" t="s">
        <v>159</v>
      </c>
      <c r="D47" s="5" t="s">
        <v>17</v>
      </c>
      <c r="E47" s="13" t="s">
        <v>119</v>
      </c>
      <c r="F47" s="7"/>
      <c r="G47" s="3"/>
      <c r="H47" s="3" t="s">
        <v>38</v>
      </c>
      <c r="I47" s="8"/>
      <c r="J47" s="12"/>
      <c r="K47" s="9" t="s">
        <v>20</v>
      </c>
      <c r="L47" s="10" t="s">
        <v>160</v>
      </c>
      <c r="M47" s="10" t="s">
        <v>22</v>
      </c>
      <c r="N47" s="10" t="s">
        <v>23</v>
      </c>
    </row>
    <row r="48" customFormat="false" ht="61.5" hidden="false" customHeight="true" outlineLevel="0" collapsed="false">
      <c r="A48" s="3" t="s">
        <v>161</v>
      </c>
      <c r="B48" s="4" t="s">
        <v>15</v>
      </c>
      <c r="C48" s="3" t="s">
        <v>162</v>
      </c>
      <c r="D48" s="16" t="s">
        <v>163</v>
      </c>
      <c r="E48" s="6" t="s">
        <v>18</v>
      </c>
      <c r="F48" s="7"/>
      <c r="G48" s="3"/>
      <c r="H48" s="3"/>
      <c r="I48" s="8"/>
      <c r="J48" s="12"/>
      <c r="K48" s="9" t="s">
        <v>20</v>
      </c>
      <c r="L48" s="10" t="s">
        <v>164</v>
      </c>
      <c r="M48" s="10" t="s">
        <v>22</v>
      </c>
      <c r="N48" s="10" t="s">
        <v>23</v>
      </c>
    </row>
    <row r="49" customFormat="false" ht="61.5" hidden="false" customHeight="true" outlineLevel="0" collapsed="false">
      <c r="A49" s="3" t="s">
        <v>165</v>
      </c>
      <c r="B49" s="4" t="s">
        <v>15</v>
      </c>
      <c r="C49" s="3" t="s">
        <v>166</v>
      </c>
      <c r="D49" s="16" t="s">
        <v>163</v>
      </c>
      <c r="E49" s="6" t="s">
        <v>18</v>
      </c>
      <c r="F49" s="7"/>
      <c r="G49" s="3"/>
      <c r="H49" s="3"/>
      <c r="I49" s="8"/>
      <c r="J49" s="12"/>
      <c r="K49" s="9" t="s">
        <v>20</v>
      </c>
      <c r="L49" s="10" t="s">
        <v>167</v>
      </c>
      <c r="M49" s="10" t="s">
        <v>22</v>
      </c>
      <c r="N49" s="10" t="s">
        <v>23</v>
      </c>
    </row>
    <row r="50" customFormat="false" ht="61.5" hidden="false" customHeight="true" outlineLevel="0" collapsed="false">
      <c r="A50" s="3" t="s">
        <v>168</v>
      </c>
      <c r="B50" s="4" t="s">
        <v>15</v>
      </c>
      <c r="C50" s="3" t="s">
        <v>169</v>
      </c>
      <c r="D50" s="16" t="s">
        <v>163</v>
      </c>
      <c r="E50" s="13" t="s">
        <v>119</v>
      </c>
      <c r="F50" s="7"/>
      <c r="G50" s="17"/>
      <c r="H50" s="3"/>
      <c r="I50" s="8"/>
      <c r="J50" s="12"/>
      <c r="K50" s="9" t="s">
        <v>20</v>
      </c>
      <c r="L50" s="10" t="s">
        <v>170</v>
      </c>
      <c r="M50" s="10" t="s">
        <v>22</v>
      </c>
      <c r="N50" s="10" t="s">
        <v>23</v>
      </c>
    </row>
    <row r="51" customFormat="false" ht="61.5" hidden="false" customHeight="true" outlineLevel="0" collapsed="false">
      <c r="A51" s="3" t="s">
        <v>171</v>
      </c>
      <c r="B51" s="4" t="s">
        <v>15</v>
      </c>
      <c r="C51" s="3" t="s">
        <v>172</v>
      </c>
      <c r="D51" s="16" t="s">
        <v>163</v>
      </c>
      <c r="E51" s="13" t="s">
        <v>119</v>
      </c>
      <c r="F51" s="7"/>
      <c r="G51" s="3"/>
      <c r="H51" s="3"/>
      <c r="I51" s="8"/>
      <c r="J51" s="12"/>
      <c r="K51" s="9" t="s">
        <v>20</v>
      </c>
      <c r="L51" s="10" t="s">
        <v>173</v>
      </c>
      <c r="M51" s="10" t="s">
        <v>22</v>
      </c>
      <c r="N51" s="10" t="s">
        <v>23</v>
      </c>
    </row>
    <row r="52" customFormat="false" ht="61.5" hidden="false" customHeight="true" outlineLevel="0" collapsed="false">
      <c r="A52" s="3" t="s">
        <v>174</v>
      </c>
      <c r="B52" s="4" t="s">
        <v>15</v>
      </c>
      <c r="C52" s="3" t="s">
        <v>175</v>
      </c>
      <c r="D52" s="16" t="s">
        <v>163</v>
      </c>
      <c r="E52" s="13" t="s">
        <v>119</v>
      </c>
      <c r="F52" s="7"/>
      <c r="G52" s="3"/>
      <c r="H52" s="3"/>
      <c r="I52" s="8"/>
      <c r="J52" s="12"/>
      <c r="K52" s="9" t="s">
        <v>20</v>
      </c>
      <c r="L52" s="10" t="s">
        <v>176</v>
      </c>
      <c r="M52" s="10" t="s">
        <v>22</v>
      </c>
      <c r="N52" s="10" t="s">
        <v>23</v>
      </c>
    </row>
    <row r="53" customFormat="false" ht="61.5" hidden="false" customHeight="true" outlineLevel="0" collapsed="false">
      <c r="A53" s="3" t="s">
        <v>177</v>
      </c>
      <c r="B53" s="4" t="s">
        <v>15</v>
      </c>
      <c r="C53" s="3" t="s">
        <v>178</v>
      </c>
      <c r="D53" s="16" t="s">
        <v>163</v>
      </c>
      <c r="E53" s="13" t="s">
        <v>119</v>
      </c>
      <c r="F53" s="7"/>
      <c r="G53" s="3"/>
      <c r="H53" s="3"/>
      <c r="I53" s="8"/>
      <c r="J53" s="12"/>
      <c r="K53" s="9" t="s">
        <v>20</v>
      </c>
      <c r="L53" s="10" t="s">
        <v>179</v>
      </c>
      <c r="M53" s="10" t="s">
        <v>22</v>
      </c>
      <c r="N53" s="10" t="s">
        <v>23</v>
      </c>
    </row>
    <row r="54" customFormat="false" ht="61.5" hidden="false" customHeight="true" outlineLevel="0" collapsed="false">
      <c r="A54" s="3" t="s">
        <v>180</v>
      </c>
      <c r="B54" s="4" t="s">
        <v>15</v>
      </c>
      <c r="C54" s="3" t="s">
        <v>181</v>
      </c>
      <c r="D54" s="16" t="s">
        <v>163</v>
      </c>
      <c r="E54" s="15" t="s">
        <v>82</v>
      </c>
      <c r="F54" s="7"/>
      <c r="G54" s="3"/>
      <c r="H54" s="3"/>
      <c r="I54" s="8"/>
      <c r="J54" s="12"/>
      <c r="K54" s="9" t="s">
        <v>20</v>
      </c>
      <c r="L54" s="10" t="s">
        <v>182</v>
      </c>
      <c r="M54" s="10" t="s">
        <v>22</v>
      </c>
      <c r="N54" s="10" t="s">
        <v>23</v>
      </c>
    </row>
    <row r="55" customFormat="false" ht="61.5" hidden="false" customHeight="true" outlineLevel="0" collapsed="false">
      <c r="A55" s="3" t="s">
        <v>183</v>
      </c>
      <c r="B55" s="4" t="s">
        <v>15</v>
      </c>
      <c r="C55" s="3" t="s">
        <v>184</v>
      </c>
      <c r="D55" s="16" t="s">
        <v>163</v>
      </c>
      <c r="E55" s="15" t="s">
        <v>82</v>
      </c>
      <c r="F55" s="7"/>
      <c r="G55" s="3"/>
      <c r="H55" s="3"/>
      <c r="I55" s="8"/>
      <c r="J55" s="12"/>
      <c r="K55" s="9" t="s">
        <v>20</v>
      </c>
      <c r="L55" s="10" t="s">
        <v>185</v>
      </c>
      <c r="M55" s="10" t="s">
        <v>22</v>
      </c>
      <c r="N55" s="10" t="s">
        <v>23</v>
      </c>
    </row>
    <row r="56" customFormat="false" ht="61.5" hidden="false" customHeight="true" outlineLevel="0" collapsed="false">
      <c r="A56" s="3" t="s">
        <v>186</v>
      </c>
      <c r="B56" s="4" t="s">
        <v>15</v>
      </c>
      <c r="C56" s="3" t="s">
        <v>187</v>
      </c>
      <c r="D56" s="16" t="s">
        <v>163</v>
      </c>
      <c r="E56" s="15" t="s">
        <v>82</v>
      </c>
      <c r="F56" s="7"/>
      <c r="G56" s="3"/>
      <c r="H56" s="3"/>
      <c r="I56" s="8"/>
      <c r="J56" s="12"/>
      <c r="K56" s="9" t="s">
        <v>20</v>
      </c>
      <c r="L56" s="10" t="s">
        <v>188</v>
      </c>
      <c r="M56" s="10" t="s">
        <v>22</v>
      </c>
      <c r="N56" s="10" t="s">
        <v>23</v>
      </c>
    </row>
    <row r="57" customFormat="false" ht="61.5" hidden="false" customHeight="true" outlineLevel="0" collapsed="false">
      <c r="A57" s="3" t="s">
        <v>189</v>
      </c>
      <c r="B57" s="4" t="s">
        <v>15</v>
      </c>
      <c r="C57" s="3" t="s">
        <v>190</v>
      </c>
      <c r="D57" s="16" t="s">
        <v>163</v>
      </c>
      <c r="E57" s="15" t="s">
        <v>82</v>
      </c>
      <c r="F57" s="7"/>
      <c r="G57" s="3"/>
      <c r="H57" s="3"/>
      <c r="I57" s="8"/>
      <c r="J57" s="12"/>
      <c r="K57" s="9" t="s">
        <v>20</v>
      </c>
      <c r="L57" s="10" t="s">
        <v>191</v>
      </c>
      <c r="M57" s="10" t="s">
        <v>22</v>
      </c>
      <c r="N57" s="10" t="s">
        <v>23</v>
      </c>
    </row>
    <row r="58" customFormat="false" ht="61.5" hidden="false" customHeight="true" outlineLevel="0" collapsed="false">
      <c r="A58" s="3" t="s">
        <v>192</v>
      </c>
      <c r="B58" s="4" t="s">
        <v>15</v>
      </c>
      <c r="C58" s="3" t="s">
        <v>193</v>
      </c>
      <c r="D58" s="16" t="s">
        <v>163</v>
      </c>
      <c r="E58" s="15" t="s">
        <v>82</v>
      </c>
      <c r="F58" s="7"/>
      <c r="G58" s="3"/>
      <c r="H58" s="3"/>
      <c r="I58" s="8"/>
      <c r="J58" s="12"/>
      <c r="K58" s="9" t="s">
        <v>20</v>
      </c>
      <c r="L58" s="10" t="s">
        <v>194</v>
      </c>
      <c r="M58" s="10" t="s">
        <v>22</v>
      </c>
      <c r="N58" s="10" t="s">
        <v>23</v>
      </c>
    </row>
    <row r="59" customFormat="false" ht="61.5" hidden="false" customHeight="true" outlineLevel="0" collapsed="false">
      <c r="A59" s="3" t="s">
        <v>195</v>
      </c>
      <c r="B59" s="4" t="s">
        <v>15</v>
      </c>
      <c r="C59" s="3" t="s">
        <v>196</v>
      </c>
      <c r="D59" s="16" t="s">
        <v>163</v>
      </c>
      <c r="E59" s="15" t="s">
        <v>82</v>
      </c>
      <c r="F59" s="7"/>
      <c r="G59" s="3"/>
      <c r="H59" s="3"/>
      <c r="I59" s="8"/>
      <c r="J59" s="12"/>
      <c r="K59" s="9" t="s">
        <v>20</v>
      </c>
      <c r="L59" s="10" t="s">
        <v>197</v>
      </c>
      <c r="M59" s="10" t="s">
        <v>22</v>
      </c>
      <c r="N59" s="10" t="s">
        <v>23</v>
      </c>
    </row>
    <row r="60" customFormat="false" ht="61.5" hidden="false" customHeight="true" outlineLevel="0" collapsed="false">
      <c r="A60" s="3" t="s">
        <v>198</v>
      </c>
      <c r="B60" s="4" t="s">
        <v>15</v>
      </c>
      <c r="C60" s="3" t="s">
        <v>199</v>
      </c>
      <c r="D60" s="16" t="s">
        <v>163</v>
      </c>
      <c r="E60" s="15" t="s">
        <v>82</v>
      </c>
      <c r="F60" s="7"/>
      <c r="G60" s="3"/>
      <c r="H60" s="3"/>
      <c r="I60" s="8"/>
      <c r="J60" s="12"/>
      <c r="K60" s="9" t="s">
        <v>20</v>
      </c>
      <c r="L60" s="10" t="s">
        <v>200</v>
      </c>
      <c r="M60" s="10" t="s">
        <v>22</v>
      </c>
      <c r="N60" s="10" t="s">
        <v>23</v>
      </c>
    </row>
    <row r="61" customFormat="false" ht="61.5" hidden="false" customHeight="true" outlineLevel="0" collapsed="false">
      <c r="A61" s="3" t="s">
        <v>201</v>
      </c>
      <c r="B61" s="4" t="s">
        <v>15</v>
      </c>
      <c r="C61" s="3" t="s">
        <v>202</v>
      </c>
      <c r="D61" s="16" t="s">
        <v>163</v>
      </c>
      <c r="E61" s="15" t="s">
        <v>82</v>
      </c>
      <c r="F61" s="7"/>
      <c r="G61" s="3"/>
      <c r="H61" s="3"/>
      <c r="I61" s="8"/>
      <c r="J61" s="12"/>
      <c r="K61" s="9" t="s">
        <v>20</v>
      </c>
      <c r="L61" s="10" t="s">
        <v>203</v>
      </c>
      <c r="M61" s="10" t="s">
        <v>22</v>
      </c>
      <c r="N61" s="10" t="s">
        <v>23</v>
      </c>
    </row>
    <row r="62" customFormat="false" ht="61.5" hidden="false" customHeight="true" outlineLevel="0" collapsed="false">
      <c r="A62" s="3" t="s">
        <v>204</v>
      </c>
      <c r="B62" s="13" t="s">
        <v>67</v>
      </c>
      <c r="C62" s="3" t="s">
        <v>205</v>
      </c>
      <c r="D62" s="16" t="s">
        <v>163</v>
      </c>
      <c r="E62" s="6" t="s">
        <v>18</v>
      </c>
      <c r="F62" s="7"/>
      <c r="G62" s="3"/>
      <c r="H62" s="3"/>
      <c r="I62" s="8"/>
      <c r="J62" s="12"/>
      <c r="K62" s="9" t="s">
        <v>20</v>
      </c>
      <c r="L62" s="10" t="s">
        <v>206</v>
      </c>
      <c r="M62" s="10" t="s">
        <v>22</v>
      </c>
      <c r="N62" s="10" t="s">
        <v>23</v>
      </c>
    </row>
    <row r="63" customFormat="false" ht="61.5" hidden="false" customHeight="true" outlineLevel="0" collapsed="false">
      <c r="A63" s="3" t="s">
        <v>207</v>
      </c>
      <c r="B63" s="13" t="s">
        <v>67</v>
      </c>
      <c r="C63" s="3" t="s">
        <v>208</v>
      </c>
      <c r="D63" s="16" t="s">
        <v>163</v>
      </c>
      <c r="E63" s="6" t="s">
        <v>18</v>
      </c>
      <c r="F63" s="7"/>
      <c r="G63" s="3"/>
      <c r="H63" s="3"/>
      <c r="I63" s="8"/>
      <c r="J63" s="12"/>
      <c r="K63" s="9" t="s">
        <v>20</v>
      </c>
      <c r="L63" s="10" t="s">
        <v>209</v>
      </c>
      <c r="M63" s="10" t="s">
        <v>22</v>
      </c>
      <c r="N63" s="10" t="s">
        <v>23</v>
      </c>
    </row>
    <row r="64" customFormat="false" ht="61.5" hidden="false" customHeight="true" outlineLevel="0" collapsed="false">
      <c r="A64" s="3" t="s">
        <v>210</v>
      </c>
      <c r="B64" s="13" t="s">
        <v>67</v>
      </c>
      <c r="C64" s="3" t="s">
        <v>211</v>
      </c>
      <c r="D64" s="16" t="s">
        <v>163</v>
      </c>
      <c r="E64" s="6" t="s">
        <v>18</v>
      </c>
      <c r="F64" s="7"/>
      <c r="G64" s="3"/>
      <c r="H64" s="3"/>
      <c r="I64" s="8"/>
      <c r="J64" s="12"/>
      <c r="K64" s="9" t="s">
        <v>20</v>
      </c>
      <c r="L64" s="10" t="s">
        <v>212</v>
      </c>
      <c r="M64" s="10" t="s">
        <v>22</v>
      </c>
      <c r="N64" s="10" t="s">
        <v>23</v>
      </c>
    </row>
    <row r="65" customFormat="false" ht="61.5" hidden="false" customHeight="true" outlineLevel="0" collapsed="false">
      <c r="A65" s="3" t="s">
        <v>213</v>
      </c>
      <c r="B65" s="13" t="s">
        <v>67</v>
      </c>
      <c r="C65" s="3" t="s">
        <v>214</v>
      </c>
      <c r="D65" s="16" t="s">
        <v>163</v>
      </c>
      <c r="E65" s="6" t="s">
        <v>18</v>
      </c>
      <c r="F65" s="7"/>
      <c r="G65" s="3"/>
      <c r="H65" s="3"/>
      <c r="I65" s="8"/>
      <c r="J65" s="12"/>
      <c r="K65" s="9" t="s">
        <v>20</v>
      </c>
      <c r="L65" s="10" t="s">
        <v>215</v>
      </c>
      <c r="M65" s="10" t="s">
        <v>22</v>
      </c>
      <c r="N65" s="10" t="s">
        <v>23</v>
      </c>
    </row>
    <row r="66" customFormat="false" ht="61.5" hidden="false" customHeight="true" outlineLevel="0" collapsed="false">
      <c r="A66" s="3" t="s">
        <v>216</v>
      </c>
      <c r="B66" s="13" t="s">
        <v>67</v>
      </c>
      <c r="C66" s="3" t="s">
        <v>217</v>
      </c>
      <c r="D66" s="16" t="s">
        <v>163</v>
      </c>
      <c r="E66" s="6" t="s">
        <v>18</v>
      </c>
      <c r="F66" s="7"/>
      <c r="G66" s="3"/>
      <c r="H66" s="3"/>
      <c r="I66" s="8"/>
      <c r="J66" s="12"/>
      <c r="K66" s="9" t="s">
        <v>20</v>
      </c>
      <c r="L66" s="10" t="s">
        <v>218</v>
      </c>
      <c r="M66" s="10" t="s">
        <v>22</v>
      </c>
      <c r="N66" s="10" t="s">
        <v>23</v>
      </c>
    </row>
    <row r="67" customFormat="false" ht="61.5" hidden="false" customHeight="true" outlineLevel="0" collapsed="false">
      <c r="A67" s="3" t="s">
        <v>219</v>
      </c>
      <c r="B67" s="13" t="s">
        <v>67</v>
      </c>
      <c r="C67" s="3" t="s">
        <v>220</v>
      </c>
      <c r="D67" s="16" t="s">
        <v>163</v>
      </c>
      <c r="E67" s="6" t="s">
        <v>18</v>
      </c>
      <c r="F67" s="7"/>
      <c r="G67" s="3"/>
      <c r="H67" s="3"/>
      <c r="I67" s="8"/>
      <c r="J67" s="12"/>
      <c r="K67" s="9" t="s">
        <v>20</v>
      </c>
      <c r="L67" s="10" t="s">
        <v>221</v>
      </c>
      <c r="M67" s="10" t="s">
        <v>22</v>
      </c>
      <c r="N67" s="10" t="s">
        <v>23</v>
      </c>
    </row>
    <row r="68" customFormat="false" ht="61.5" hidden="false" customHeight="true" outlineLevel="0" collapsed="false">
      <c r="A68" s="3" t="s">
        <v>222</v>
      </c>
      <c r="B68" s="13" t="s">
        <v>67</v>
      </c>
      <c r="C68" s="3" t="s">
        <v>223</v>
      </c>
      <c r="D68" s="16" t="s">
        <v>163</v>
      </c>
      <c r="E68" s="6" t="s">
        <v>18</v>
      </c>
      <c r="F68" s="7"/>
      <c r="G68" s="3"/>
      <c r="H68" s="3"/>
      <c r="I68" s="8"/>
      <c r="J68" s="12"/>
      <c r="K68" s="9" t="s">
        <v>20</v>
      </c>
      <c r="L68" s="10" t="s">
        <v>224</v>
      </c>
      <c r="M68" s="10" t="s">
        <v>22</v>
      </c>
      <c r="N68" s="10" t="s">
        <v>23</v>
      </c>
    </row>
    <row r="69" customFormat="false" ht="61.5" hidden="false" customHeight="true" outlineLevel="0" collapsed="false">
      <c r="A69" s="3" t="s">
        <v>225</v>
      </c>
      <c r="B69" s="13" t="s">
        <v>67</v>
      </c>
      <c r="C69" s="3" t="s">
        <v>226</v>
      </c>
      <c r="D69" s="16" t="s">
        <v>163</v>
      </c>
      <c r="E69" s="6" t="s">
        <v>18</v>
      </c>
      <c r="F69" s="7"/>
      <c r="G69" s="3"/>
      <c r="H69" s="3"/>
      <c r="I69" s="8"/>
      <c r="J69" s="12"/>
      <c r="K69" s="9" t="s">
        <v>20</v>
      </c>
      <c r="L69" s="10" t="s">
        <v>227</v>
      </c>
      <c r="M69" s="10" t="s">
        <v>22</v>
      </c>
      <c r="N69" s="10" t="s">
        <v>23</v>
      </c>
    </row>
    <row r="70" customFormat="false" ht="61.5" hidden="false" customHeight="true" outlineLevel="0" collapsed="false">
      <c r="A70" s="3" t="s">
        <v>228</v>
      </c>
      <c r="B70" s="13" t="s">
        <v>67</v>
      </c>
      <c r="C70" s="3" t="s">
        <v>229</v>
      </c>
      <c r="D70" s="16" t="s">
        <v>163</v>
      </c>
      <c r="E70" s="6" t="s">
        <v>18</v>
      </c>
      <c r="F70" s="7"/>
      <c r="G70" s="3"/>
      <c r="H70" s="3"/>
      <c r="I70" s="8"/>
      <c r="J70" s="12"/>
      <c r="K70" s="9" t="s">
        <v>20</v>
      </c>
      <c r="L70" s="10" t="s">
        <v>230</v>
      </c>
      <c r="M70" s="10" t="s">
        <v>22</v>
      </c>
      <c r="N70" s="10" t="s">
        <v>23</v>
      </c>
    </row>
    <row r="71" customFormat="false" ht="61.5" hidden="false" customHeight="true" outlineLevel="0" collapsed="false">
      <c r="A71" s="3" t="s">
        <v>231</v>
      </c>
      <c r="B71" s="13" t="s">
        <v>67</v>
      </c>
      <c r="C71" s="3" t="s">
        <v>232</v>
      </c>
      <c r="D71" s="16" t="s">
        <v>163</v>
      </c>
      <c r="E71" s="6" t="s">
        <v>18</v>
      </c>
      <c r="F71" s="7"/>
      <c r="G71" s="3"/>
      <c r="H71" s="3"/>
      <c r="I71" s="8"/>
      <c r="J71" s="12"/>
      <c r="K71" s="9" t="s">
        <v>20</v>
      </c>
      <c r="L71" s="10" t="s">
        <v>233</v>
      </c>
      <c r="M71" s="10" t="s">
        <v>22</v>
      </c>
      <c r="N71" s="10" t="s">
        <v>23</v>
      </c>
    </row>
    <row r="72" customFormat="false" ht="61.5" hidden="false" customHeight="true" outlineLevel="0" collapsed="false">
      <c r="A72" s="3" t="s">
        <v>234</v>
      </c>
      <c r="B72" s="13" t="s">
        <v>67</v>
      </c>
      <c r="C72" s="3" t="s">
        <v>235</v>
      </c>
      <c r="D72" s="16" t="s">
        <v>163</v>
      </c>
      <c r="E72" s="6" t="s">
        <v>18</v>
      </c>
      <c r="F72" s="7"/>
      <c r="G72" s="3"/>
      <c r="H72" s="3"/>
      <c r="I72" s="8"/>
      <c r="J72" s="12"/>
      <c r="K72" s="9" t="s">
        <v>20</v>
      </c>
      <c r="L72" s="10" t="s">
        <v>236</v>
      </c>
      <c r="M72" s="10" t="s">
        <v>22</v>
      </c>
      <c r="N72" s="10" t="s">
        <v>23</v>
      </c>
    </row>
    <row r="73" customFormat="false" ht="61.5" hidden="false" customHeight="true" outlineLevel="0" collapsed="false">
      <c r="A73" s="3" t="s">
        <v>237</v>
      </c>
      <c r="B73" s="13" t="s">
        <v>67</v>
      </c>
      <c r="C73" s="3" t="s">
        <v>238</v>
      </c>
      <c r="D73" s="16" t="s">
        <v>163</v>
      </c>
      <c r="E73" s="6" t="s">
        <v>18</v>
      </c>
      <c r="F73" s="7"/>
      <c r="G73" s="3"/>
      <c r="H73" s="3"/>
      <c r="I73" s="8"/>
      <c r="J73" s="12"/>
      <c r="K73" s="9" t="s">
        <v>20</v>
      </c>
      <c r="L73" s="10" t="s">
        <v>239</v>
      </c>
      <c r="M73" s="10" t="s">
        <v>22</v>
      </c>
      <c r="N73" s="10" t="s">
        <v>23</v>
      </c>
    </row>
    <row r="74" customFormat="false" ht="61.5" hidden="false" customHeight="true" outlineLevel="0" collapsed="false">
      <c r="A74" s="3" t="s">
        <v>240</v>
      </c>
      <c r="B74" s="13" t="s">
        <v>67</v>
      </c>
      <c r="C74" s="3" t="s">
        <v>241</v>
      </c>
      <c r="D74" s="16" t="s">
        <v>163</v>
      </c>
      <c r="E74" s="13" t="s">
        <v>119</v>
      </c>
      <c r="F74" s="7"/>
      <c r="G74" s="3"/>
      <c r="H74" s="3"/>
      <c r="I74" s="8"/>
      <c r="J74" s="12"/>
      <c r="K74" s="9" t="s">
        <v>20</v>
      </c>
      <c r="L74" s="10" t="s">
        <v>242</v>
      </c>
      <c r="M74" s="10" t="s">
        <v>22</v>
      </c>
      <c r="N74" s="10" t="s">
        <v>23</v>
      </c>
    </row>
    <row r="75" customFormat="false" ht="61.5" hidden="false" customHeight="true" outlineLevel="0" collapsed="false">
      <c r="A75" s="3" t="s">
        <v>243</v>
      </c>
      <c r="B75" s="13" t="s">
        <v>67</v>
      </c>
      <c r="C75" s="3" t="s">
        <v>244</v>
      </c>
      <c r="D75" s="16" t="s">
        <v>163</v>
      </c>
      <c r="E75" s="13" t="s">
        <v>119</v>
      </c>
      <c r="F75" s="7"/>
      <c r="G75" s="3"/>
      <c r="H75" s="3"/>
      <c r="I75" s="8"/>
      <c r="J75" s="12"/>
      <c r="K75" s="9" t="s">
        <v>20</v>
      </c>
      <c r="L75" s="10" t="s">
        <v>245</v>
      </c>
      <c r="M75" s="10" t="s">
        <v>22</v>
      </c>
      <c r="N75" s="10" t="s">
        <v>23</v>
      </c>
    </row>
    <row r="76" customFormat="false" ht="61.5" hidden="false" customHeight="true" outlineLevel="0" collapsed="false">
      <c r="A76" s="3" t="s">
        <v>246</v>
      </c>
      <c r="B76" s="13" t="s">
        <v>67</v>
      </c>
      <c r="C76" s="3" t="s">
        <v>247</v>
      </c>
      <c r="D76" s="16" t="s">
        <v>163</v>
      </c>
      <c r="E76" s="13" t="s">
        <v>119</v>
      </c>
      <c r="F76" s="7"/>
      <c r="G76" s="3"/>
      <c r="H76" s="3"/>
      <c r="I76" s="8"/>
      <c r="J76" s="12"/>
      <c r="K76" s="9" t="s">
        <v>20</v>
      </c>
      <c r="L76" s="10" t="s">
        <v>248</v>
      </c>
      <c r="M76" s="10" t="s">
        <v>22</v>
      </c>
      <c r="N76" s="10" t="s">
        <v>23</v>
      </c>
    </row>
    <row r="77" customFormat="false" ht="61.5" hidden="false" customHeight="true" outlineLevel="0" collapsed="false">
      <c r="A77" s="3" t="s">
        <v>249</v>
      </c>
      <c r="B77" s="13" t="s">
        <v>67</v>
      </c>
      <c r="C77" s="3" t="s">
        <v>250</v>
      </c>
      <c r="D77" s="16" t="s">
        <v>163</v>
      </c>
      <c r="E77" s="13" t="s">
        <v>119</v>
      </c>
      <c r="F77" s="7"/>
      <c r="G77" s="3"/>
      <c r="H77" s="3"/>
      <c r="I77" s="8"/>
      <c r="J77" s="12"/>
      <c r="K77" s="9" t="s">
        <v>20</v>
      </c>
      <c r="L77" s="10" t="s">
        <v>251</v>
      </c>
      <c r="M77" s="10" t="s">
        <v>22</v>
      </c>
      <c r="N77" s="10" t="s">
        <v>23</v>
      </c>
    </row>
    <row r="78" customFormat="false" ht="61.5" hidden="false" customHeight="true" outlineLevel="0" collapsed="false">
      <c r="A78" s="3" t="s">
        <v>252</v>
      </c>
      <c r="B78" s="13" t="s">
        <v>67</v>
      </c>
      <c r="C78" s="3" t="s">
        <v>253</v>
      </c>
      <c r="D78" s="16" t="s">
        <v>163</v>
      </c>
      <c r="E78" s="13" t="s">
        <v>119</v>
      </c>
      <c r="F78" s="7"/>
      <c r="G78" s="3"/>
      <c r="H78" s="3"/>
      <c r="I78" s="8"/>
      <c r="J78" s="12"/>
      <c r="K78" s="9" t="s">
        <v>20</v>
      </c>
      <c r="L78" s="10" t="s">
        <v>254</v>
      </c>
      <c r="M78" s="10" t="s">
        <v>22</v>
      </c>
      <c r="N78" s="10" t="s">
        <v>23</v>
      </c>
    </row>
    <row r="79" customFormat="false" ht="61.5" hidden="false" customHeight="true" outlineLevel="0" collapsed="false">
      <c r="A79" s="3" t="s">
        <v>255</v>
      </c>
      <c r="B79" s="13" t="s">
        <v>67</v>
      </c>
      <c r="C79" s="3" t="s">
        <v>256</v>
      </c>
      <c r="D79" s="16" t="s">
        <v>163</v>
      </c>
      <c r="E79" s="13" t="s">
        <v>119</v>
      </c>
      <c r="F79" s="7"/>
      <c r="G79" s="3"/>
      <c r="H79" s="3"/>
      <c r="I79" s="8"/>
      <c r="J79" s="12"/>
      <c r="K79" s="9" t="s">
        <v>20</v>
      </c>
      <c r="L79" s="10" t="s">
        <v>257</v>
      </c>
      <c r="M79" s="10" t="s">
        <v>22</v>
      </c>
      <c r="N79" s="10" t="s">
        <v>23</v>
      </c>
    </row>
    <row r="80" customFormat="false" ht="61.5" hidden="false" customHeight="true" outlineLevel="0" collapsed="false">
      <c r="A80" s="3" t="s">
        <v>258</v>
      </c>
      <c r="B80" s="13" t="s">
        <v>67</v>
      </c>
      <c r="C80" s="3" t="s">
        <v>259</v>
      </c>
      <c r="D80" s="16" t="s">
        <v>163</v>
      </c>
      <c r="E80" s="13" t="s">
        <v>119</v>
      </c>
      <c r="F80" s="7"/>
      <c r="G80" s="3"/>
      <c r="H80" s="3"/>
      <c r="I80" s="8"/>
      <c r="J80" s="12"/>
      <c r="K80" s="9" t="s">
        <v>20</v>
      </c>
      <c r="L80" s="10" t="s">
        <v>260</v>
      </c>
      <c r="M80" s="10" t="s">
        <v>22</v>
      </c>
      <c r="N80" s="10" t="s">
        <v>23</v>
      </c>
    </row>
    <row r="81" customFormat="false" ht="61.5" hidden="false" customHeight="true" outlineLevel="0" collapsed="false">
      <c r="A81" s="3" t="s">
        <v>261</v>
      </c>
      <c r="B81" s="13" t="s">
        <v>67</v>
      </c>
      <c r="C81" s="3" t="s">
        <v>262</v>
      </c>
      <c r="D81" s="16" t="s">
        <v>163</v>
      </c>
      <c r="E81" s="13" t="s">
        <v>119</v>
      </c>
      <c r="F81" s="7"/>
      <c r="G81" s="3"/>
      <c r="H81" s="3"/>
      <c r="I81" s="8"/>
      <c r="J81" s="12"/>
      <c r="K81" s="9" t="s">
        <v>20</v>
      </c>
      <c r="L81" s="10" t="s">
        <v>263</v>
      </c>
      <c r="M81" s="10" t="s">
        <v>22</v>
      </c>
      <c r="N81" s="10" t="s">
        <v>23</v>
      </c>
    </row>
    <row r="82" customFormat="false" ht="61.5" hidden="false" customHeight="true" outlineLevel="0" collapsed="false">
      <c r="A82" s="3" t="s">
        <v>264</v>
      </c>
      <c r="B82" s="13" t="s">
        <v>67</v>
      </c>
      <c r="C82" s="3" t="s">
        <v>265</v>
      </c>
      <c r="D82" s="16" t="s">
        <v>163</v>
      </c>
      <c r="E82" s="13" t="s">
        <v>119</v>
      </c>
      <c r="F82" s="7"/>
      <c r="G82" s="3"/>
      <c r="H82" s="3"/>
      <c r="I82" s="8"/>
      <c r="J82" s="12"/>
      <c r="K82" s="9" t="s">
        <v>20</v>
      </c>
      <c r="L82" s="10" t="s">
        <v>266</v>
      </c>
      <c r="M82" s="10" t="s">
        <v>22</v>
      </c>
      <c r="N82" s="10" t="s">
        <v>23</v>
      </c>
    </row>
    <row r="83" customFormat="false" ht="61.5" hidden="false" customHeight="true" outlineLevel="0" collapsed="false">
      <c r="A83" s="3" t="s">
        <v>267</v>
      </c>
      <c r="B83" s="13" t="s">
        <v>67</v>
      </c>
      <c r="C83" s="3" t="s">
        <v>268</v>
      </c>
      <c r="D83" s="16" t="s">
        <v>163</v>
      </c>
      <c r="E83" s="13" t="s">
        <v>119</v>
      </c>
      <c r="F83" s="7"/>
      <c r="G83" s="3"/>
      <c r="H83" s="3"/>
      <c r="I83" s="8"/>
      <c r="J83" s="12"/>
      <c r="K83" s="9" t="s">
        <v>20</v>
      </c>
      <c r="L83" s="10" t="s">
        <v>215</v>
      </c>
      <c r="M83" s="10" t="s">
        <v>22</v>
      </c>
      <c r="N83" s="10" t="s">
        <v>23</v>
      </c>
    </row>
    <row r="84" customFormat="false" ht="61.5" hidden="false" customHeight="true" outlineLevel="0" collapsed="false">
      <c r="A84" s="3" t="s">
        <v>269</v>
      </c>
      <c r="B84" s="13" t="s">
        <v>67</v>
      </c>
      <c r="C84" s="3" t="s">
        <v>270</v>
      </c>
      <c r="D84" s="16" t="s">
        <v>163</v>
      </c>
      <c r="E84" s="13" t="s">
        <v>119</v>
      </c>
      <c r="F84" s="7"/>
      <c r="G84" s="3"/>
      <c r="H84" s="3"/>
      <c r="I84" s="8"/>
      <c r="J84" s="12"/>
      <c r="K84" s="9" t="s">
        <v>20</v>
      </c>
      <c r="L84" s="10" t="s">
        <v>271</v>
      </c>
      <c r="M84" s="10" t="s">
        <v>22</v>
      </c>
      <c r="N84" s="10" t="s">
        <v>23</v>
      </c>
    </row>
    <row r="85" customFormat="false" ht="61.5" hidden="false" customHeight="true" outlineLevel="0" collapsed="false">
      <c r="A85" s="3" t="s">
        <v>272</v>
      </c>
      <c r="B85" s="13" t="s">
        <v>67</v>
      </c>
      <c r="C85" s="3" t="s">
        <v>273</v>
      </c>
      <c r="D85" s="16" t="s">
        <v>163</v>
      </c>
      <c r="E85" s="13" t="s">
        <v>119</v>
      </c>
      <c r="F85" s="7"/>
      <c r="G85" s="3"/>
      <c r="H85" s="3"/>
      <c r="I85" s="8"/>
      <c r="J85" s="12"/>
      <c r="K85" s="9" t="s">
        <v>20</v>
      </c>
      <c r="L85" s="10" t="s">
        <v>239</v>
      </c>
      <c r="M85" s="10" t="s">
        <v>22</v>
      </c>
      <c r="N85" s="10" t="s">
        <v>23</v>
      </c>
    </row>
    <row r="86" customFormat="false" ht="61.5" hidden="false" customHeight="true" outlineLevel="0" collapsed="false">
      <c r="A86" s="3" t="s">
        <v>274</v>
      </c>
      <c r="B86" s="13" t="s">
        <v>67</v>
      </c>
      <c r="C86" s="3" t="s">
        <v>275</v>
      </c>
      <c r="D86" s="16" t="s">
        <v>163</v>
      </c>
      <c r="E86" s="15" t="s">
        <v>82</v>
      </c>
      <c r="F86" s="7"/>
      <c r="G86" s="3"/>
      <c r="H86" s="3"/>
      <c r="I86" s="8"/>
      <c r="J86" s="12"/>
      <c r="K86" s="9" t="s">
        <v>20</v>
      </c>
      <c r="L86" s="10" t="s">
        <v>276</v>
      </c>
      <c r="M86" s="10" t="s">
        <v>22</v>
      </c>
      <c r="N86" s="10" t="s">
        <v>23</v>
      </c>
    </row>
    <row r="87" customFormat="false" ht="61.5" hidden="false" customHeight="true" outlineLevel="0" collapsed="false">
      <c r="A87" s="3" t="s">
        <v>277</v>
      </c>
      <c r="B87" s="13" t="s">
        <v>67</v>
      </c>
      <c r="C87" s="3" t="s">
        <v>278</v>
      </c>
      <c r="D87" s="16" t="s">
        <v>163</v>
      </c>
      <c r="E87" s="15" t="s">
        <v>82</v>
      </c>
      <c r="F87" s="7"/>
      <c r="G87" s="3"/>
      <c r="H87" s="3"/>
      <c r="I87" s="8"/>
      <c r="J87" s="12"/>
      <c r="K87" s="9" t="s">
        <v>20</v>
      </c>
      <c r="L87" s="10" t="s">
        <v>245</v>
      </c>
      <c r="M87" s="10" t="s">
        <v>22</v>
      </c>
      <c r="N87" s="10" t="s">
        <v>23</v>
      </c>
    </row>
    <row r="88" customFormat="false" ht="61.5" hidden="false" customHeight="true" outlineLevel="0" collapsed="false">
      <c r="A88" s="3" t="s">
        <v>279</v>
      </c>
      <c r="B88" s="13" t="s">
        <v>67</v>
      </c>
      <c r="C88" s="3" t="s">
        <v>280</v>
      </c>
      <c r="D88" s="16" t="s">
        <v>163</v>
      </c>
      <c r="E88" s="15" t="s">
        <v>82</v>
      </c>
      <c r="F88" s="7"/>
      <c r="G88" s="3"/>
      <c r="H88" s="3"/>
      <c r="I88" s="8"/>
      <c r="J88" s="12"/>
      <c r="K88" s="9" t="s">
        <v>20</v>
      </c>
      <c r="L88" s="10" t="s">
        <v>281</v>
      </c>
      <c r="M88" s="10" t="s">
        <v>22</v>
      </c>
      <c r="N88" s="10" t="s">
        <v>23</v>
      </c>
    </row>
    <row r="89" customFormat="false" ht="61.5" hidden="false" customHeight="true" outlineLevel="0" collapsed="false">
      <c r="A89" s="3" t="s">
        <v>282</v>
      </c>
      <c r="B89" s="13" t="s">
        <v>67</v>
      </c>
      <c r="C89" s="3" t="s">
        <v>283</v>
      </c>
      <c r="D89" s="16" t="s">
        <v>163</v>
      </c>
      <c r="E89" s="15" t="s">
        <v>82</v>
      </c>
      <c r="F89" s="7"/>
      <c r="G89" s="3"/>
      <c r="H89" s="3"/>
      <c r="I89" s="8"/>
      <c r="J89" s="12"/>
      <c r="K89" s="9" t="s">
        <v>20</v>
      </c>
      <c r="L89" s="10" t="s">
        <v>284</v>
      </c>
      <c r="M89" s="10" t="s">
        <v>22</v>
      </c>
      <c r="N89" s="10" t="s">
        <v>23</v>
      </c>
    </row>
    <row r="90" customFormat="false" ht="61.5" hidden="false" customHeight="true" outlineLevel="0" collapsed="false">
      <c r="A90" s="3" t="s">
        <v>285</v>
      </c>
      <c r="B90" s="13" t="s">
        <v>67</v>
      </c>
      <c r="C90" s="3" t="s">
        <v>286</v>
      </c>
      <c r="D90" s="16" t="s">
        <v>163</v>
      </c>
      <c r="E90" s="15" t="s">
        <v>82</v>
      </c>
      <c r="F90" s="7"/>
      <c r="G90" s="3"/>
      <c r="H90" s="3"/>
      <c r="I90" s="8"/>
      <c r="J90" s="12"/>
      <c r="K90" s="9" t="s">
        <v>20</v>
      </c>
      <c r="L90" s="10" t="s">
        <v>287</v>
      </c>
      <c r="M90" s="10" t="s">
        <v>22</v>
      </c>
      <c r="N90" s="10" t="s">
        <v>23</v>
      </c>
    </row>
    <row r="91" customFormat="false" ht="61.5" hidden="false" customHeight="true" outlineLevel="0" collapsed="false">
      <c r="A91" s="3" t="s">
        <v>288</v>
      </c>
      <c r="B91" s="13" t="s">
        <v>67</v>
      </c>
      <c r="C91" s="3" t="s">
        <v>289</v>
      </c>
      <c r="D91" s="16" t="s">
        <v>163</v>
      </c>
      <c r="E91" s="15" t="s">
        <v>82</v>
      </c>
      <c r="F91" s="7"/>
      <c r="G91" s="3"/>
      <c r="H91" s="3"/>
      <c r="I91" s="8"/>
      <c r="J91" s="12"/>
      <c r="K91" s="9" t="s">
        <v>20</v>
      </c>
      <c r="L91" s="10" t="s">
        <v>290</v>
      </c>
      <c r="M91" s="10" t="s">
        <v>22</v>
      </c>
      <c r="N91" s="10" t="s">
        <v>23</v>
      </c>
    </row>
    <row r="92" customFormat="false" ht="61.5" hidden="false" customHeight="true" outlineLevel="0" collapsed="false">
      <c r="A92" s="3" t="s">
        <v>291</v>
      </c>
      <c r="B92" s="13" t="s">
        <v>67</v>
      </c>
      <c r="C92" s="3" t="s">
        <v>292</v>
      </c>
      <c r="D92" s="16" t="s">
        <v>163</v>
      </c>
      <c r="E92" s="15" t="s">
        <v>82</v>
      </c>
      <c r="F92" s="7"/>
      <c r="G92" s="3"/>
      <c r="H92" s="3"/>
      <c r="I92" s="8"/>
      <c r="J92" s="12"/>
      <c r="K92" s="9" t="s">
        <v>20</v>
      </c>
      <c r="L92" s="10" t="s">
        <v>293</v>
      </c>
      <c r="M92" s="10" t="s">
        <v>22</v>
      </c>
      <c r="N92" s="10" t="s">
        <v>23</v>
      </c>
    </row>
    <row r="93" customFormat="false" ht="61.5" hidden="false" customHeight="true" outlineLevel="0" collapsed="false">
      <c r="A93" s="3" t="s">
        <v>294</v>
      </c>
      <c r="B93" s="13" t="s">
        <v>67</v>
      </c>
      <c r="C93" s="3" t="s">
        <v>295</v>
      </c>
      <c r="D93" s="16" t="s">
        <v>163</v>
      </c>
      <c r="E93" s="15" t="s">
        <v>82</v>
      </c>
      <c r="F93" s="7"/>
      <c r="G93" s="3"/>
      <c r="H93" s="3"/>
      <c r="I93" s="8"/>
      <c r="J93" s="12"/>
      <c r="K93" s="9" t="s">
        <v>20</v>
      </c>
      <c r="L93" s="10" t="s">
        <v>296</v>
      </c>
      <c r="M93" s="10" t="s">
        <v>22</v>
      </c>
      <c r="N93" s="10" t="s">
        <v>23</v>
      </c>
    </row>
    <row r="94" customFormat="false" ht="61.5" hidden="false" customHeight="true" outlineLevel="0" collapsed="false">
      <c r="A94" s="3" t="s">
        <v>297</v>
      </c>
      <c r="B94" s="13" t="s">
        <v>67</v>
      </c>
      <c r="C94" s="3" t="s">
        <v>298</v>
      </c>
      <c r="D94" s="16" t="s">
        <v>163</v>
      </c>
      <c r="E94" s="15" t="s">
        <v>82</v>
      </c>
      <c r="F94" s="7"/>
      <c r="G94" s="3"/>
      <c r="H94" s="3"/>
      <c r="I94" s="8"/>
      <c r="J94" s="12"/>
      <c r="K94" s="9" t="s">
        <v>20</v>
      </c>
      <c r="L94" s="10" t="s">
        <v>299</v>
      </c>
      <c r="M94" s="10" t="s">
        <v>22</v>
      </c>
      <c r="N94" s="10" t="s">
        <v>23</v>
      </c>
    </row>
    <row r="95" customFormat="false" ht="61.5" hidden="false" customHeight="true" outlineLevel="0" collapsed="false">
      <c r="A95" s="3" t="s">
        <v>300</v>
      </c>
      <c r="B95" s="13" t="s">
        <v>67</v>
      </c>
      <c r="C95" s="3" t="s">
        <v>301</v>
      </c>
      <c r="D95" s="16" t="s">
        <v>163</v>
      </c>
      <c r="E95" s="15" t="s">
        <v>82</v>
      </c>
      <c r="F95" s="7"/>
      <c r="G95" s="3"/>
      <c r="H95" s="3"/>
      <c r="I95" s="8"/>
      <c r="J95" s="12"/>
      <c r="K95" s="9" t="s">
        <v>20</v>
      </c>
      <c r="L95" s="10" t="s">
        <v>302</v>
      </c>
      <c r="M95" s="10" t="s">
        <v>22</v>
      </c>
      <c r="N95" s="10" t="s">
        <v>23</v>
      </c>
    </row>
    <row r="96" customFormat="false" ht="61.5" hidden="false" customHeight="true" outlineLevel="0" collapsed="false">
      <c r="A96" s="3" t="s">
        <v>303</v>
      </c>
      <c r="B96" s="13" t="s">
        <v>67</v>
      </c>
      <c r="C96" s="3" t="s">
        <v>304</v>
      </c>
      <c r="D96" s="16" t="s">
        <v>163</v>
      </c>
      <c r="E96" s="15" t="s">
        <v>82</v>
      </c>
      <c r="F96" s="7"/>
      <c r="G96" s="3"/>
      <c r="H96" s="3"/>
      <c r="I96" s="8"/>
      <c r="J96" s="12"/>
      <c r="K96" s="9" t="s">
        <v>20</v>
      </c>
      <c r="L96" s="10" t="s">
        <v>305</v>
      </c>
      <c r="M96" s="10" t="s">
        <v>22</v>
      </c>
      <c r="N96" s="10" t="s">
        <v>23</v>
      </c>
    </row>
    <row r="97" customFormat="false" ht="61.5" hidden="false" customHeight="true" outlineLevel="0" collapsed="false">
      <c r="A97" s="3" t="s">
        <v>306</v>
      </c>
      <c r="B97" s="13" t="s">
        <v>67</v>
      </c>
      <c r="C97" s="3" t="s">
        <v>307</v>
      </c>
      <c r="D97" s="16" t="s">
        <v>163</v>
      </c>
      <c r="E97" s="15" t="s">
        <v>82</v>
      </c>
      <c r="F97" s="7"/>
      <c r="G97" s="3"/>
      <c r="H97" s="3"/>
      <c r="I97" s="8"/>
      <c r="J97" s="12"/>
      <c r="K97" s="9" t="s">
        <v>20</v>
      </c>
      <c r="L97" s="10" t="s">
        <v>308</v>
      </c>
      <c r="M97" s="10" t="s">
        <v>22</v>
      </c>
      <c r="N97" s="10" t="s">
        <v>23</v>
      </c>
    </row>
    <row r="98" customFormat="false" ht="22.5" hidden="false" customHeight="true" outlineLevel="0" collapsed="false">
      <c r="A98" s="18"/>
      <c r="B98" s="19"/>
      <c r="C98" s="18"/>
      <c r="D98" s="18"/>
      <c r="E98" s="19"/>
      <c r="F98" s="20"/>
      <c r="G98" s="18"/>
      <c r="H98" s="18"/>
      <c r="I98" s="19"/>
    </row>
    <row r="99" customFormat="false" ht="22.5" hidden="false" customHeight="true" outlineLevel="0" collapsed="false">
      <c r="A99" s="18"/>
      <c r="B99" s="19"/>
      <c r="C99" s="18"/>
      <c r="D99" s="18"/>
      <c r="E99" s="19"/>
      <c r="F99" s="20"/>
      <c r="G99" s="18"/>
      <c r="H99" s="18"/>
      <c r="I99" s="19"/>
    </row>
    <row r="100" customFormat="false" ht="22.5" hidden="false" customHeight="true" outlineLevel="0" collapsed="false">
      <c r="A100" s="18"/>
      <c r="B100" s="19"/>
      <c r="C100" s="18"/>
      <c r="D100" s="18"/>
      <c r="E100" s="19"/>
      <c r="F100" s="20"/>
      <c r="G100" s="18"/>
      <c r="H100" s="18"/>
      <c r="I100" s="19"/>
    </row>
    <row r="101" customFormat="false" ht="22.5" hidden="false" customHeight="true" outlineLevel="0" collapsed="false">
      <c r="A101" s="18"/>
      <c r="B101" s="19"/>
      <c r="C101" s="18"/>
      <c r="D101" s="18"/>
      <c r="E101" s="19"/>
      <c r="F101" s="20"/>
      <c r="G101" s="18"/>
      <c r="H101" s="18"/>
      <c r="I101" s="19"/>
    </row>
    <row r="102" customFormat="false" ht="22.5" hidden="false" customHeight="true" outlineLevel="0" collapsed="false">
      <c r="A102" s="18"/>
      <c r="B102" s="19"/>
      <c r="C102" s="18"/>
      <c r="D102" s="18"/>
      <c r="E102" s="19"/>
      <c r="F102" s="20"/>
      <c r="G102" s="18"/>
      <c r="H102" s="18"/>
      <c r="I102" s="19"/>
    </row>
    <row r="103" customFormat="false" ht="22.5" hidden="false" customHeight="true" outlineLevel="0" collapsed="false">
      <c r="A103" s="18"/>
      <c r="B103" s="19"/>
      <c r="C103" s="18"/>
      <c r="D103" s="18"/>
      <c r="E103" s="19"/>
      <c r="F103" s="20"/>
      <c r="G103" s="18"/>
      <c r="H103" s="18"/>
      <c r="I103" s="19"/>
    </row>
    <row r="104" customFormat="false" ht="22.5" hidden="false" customHeight="true" outlineLevel="0" collapsed="false">
      <c r="A104" s="18"/>
      <c r="B104" s="19"/>
      <c r="C104" s="18"/>
      <c r="D104" s="18"/>
      <c r="E104" s="19"/>
      <c r="F104" s="20"/>
      <c r="G104" s="18"/>
      <c r="H104" s="18"/>
      <c r="I104" s="19"/>
    </row>
    <row r="105" customFormat="false" ht="22.5" hidden="false" customHeight="true" outlineLevel="0" collapsed="false">
      <c r="A105" s="18"/>
      <c r="B105" s="19"/>
      <c r="C105" s="18"/>
      <c r="D105" s="18"/>
      <c r="E105" s="19"/>
      <c r="F105" s="20"/>
      <c r="G105" s="18"/>
      <c r="H105" s="18"/>
      <c r="I105" s="19"/>
    </row>
  </sheetData>
  <autoFilter ref="A1:N97"/>
  <dataValidations count="4">
    <dataValidation allowBlank="true" errorStyle="stop" operator="between" showDropDown="false" showErrorMessage="false" showInputMessage="false" sqref="E2:E105" type="list">
      <formula1>"Común,Rara,Épica"</formula1>
      <formula2>0</formula2>
    </dataValidation>
    <dataValidation allowBlank="true" errorStyle="stop" operator="between" showDropDown="true" showErrorMessage="false" showInputMessage="false" sqref="F2:F105" type="custom">
      <formula1>OR(NOT(ISERROR(DATEVALUE(F2))), AND(ISNUMBER(F2), LEFT(CELL("format", F2))="D"))</formula1>
      <formula2>0</formula2>
    </dataValidation>
    <dataValidation allowBlank="true" errorStyle="stop" operator="between" showDropDown="true" showErrorMessage="false" showInputMessage="false" sqref="A2:A105 C2:C105 H2:H105" type="none">
      <formula1>0</formula1>
      <formula2>0</formula2>
    </dataValidation>
    <dataValidation allowBlank="true" errorStyle="stop" operator="between" showDropDown="false" showErrorMessage="false" showInputMessage="false" sqref="B2:B105" type="list">
      <formula1>"Beneficio,Maleficio"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2.75" hidden="false" customHeight="false" outlineLevel="0" collapsed="false">
      <c r="A1" s="1" t="s">
        <v>1</v>
      </c>
      <c r="B1" s="1" t="s">
        <v>4</v>
      </c>
      <c r="C1" s="1" t="s">
        <v>309</v>
      </c>
      <c r="D1" s="1" t="s">
        <v>310</v>
      </c>
      <c r="F1" s="21" t="s">
        <v>311</v>
      </c>
      <c r="G1" s="21" t="s">
        <v>4</v>
      </c>
      <c r="H1" s="2" t="s">
        <v>312</v>
      </c>
      <c r="I1" s="2" t="s">
        <v>313</v>
      </c>
      <c r="J1" s="2" t="s">
        <v>314</v>
      </c>
    </row>
    <row r="2" customFormat="false" ht="12.75" hidden="false" customHeight="false" outlineLevel="0" collapsed="false">
      <c r="A2" s="22" t="s">
        <v>15</v>
      </c>
      <c r="B2" s="22" t="s">
        <v>18</v>
      </c>
      <c r="C2" s="22" t="n">
        <v>16</v>
      </c>
      <c r="D2" s="22" t="n">
        <v>16</v>
      </c>
      <c r="F2" s="23" t="s">
        <v>315</v>
      </c>
      <c r="G2" s="22" t="s">
        <v>18</v>
      </c>
      <c r="H2" s="24" t="n">
        <f aca="false">COUNTIFS('Hoja 2'!$B$2:$B$97,$A2,'Hoja 2'!$E$2:$E$97,$B2,'Hoja 2'!$K$2:$K$97,"Implementada")</f>
        <v>16</v>
      </c>
      <c r="I2" s="24" t="n">
        <f aca="false">COUNTIFS('Hoja 2'!$B$2:$B$97,$A2,'Hoja 2'!$E$2:$E$97,$B2,'Hoja 2'!$K$2:$K$97,"Pendiente")</f>
        <v>0</v>
      </c>
      <c r="J2" s="25" t="n">
        <f aca="false">IFERROR(H2/C2,"")</f>
        <v>1</v>
      </c>
    </row>
    <row r="3" customFormat="false" ht="12.75" hidden="false" customHeight="false" outlineLevel="0" collapsed="false">
      <c r="A3" s="22" t="s">
        <v>15</v>
      </c>
      <c r="B3" s="22" t="s">
        <v>119</v>
      </c>
      <c r="C3" s="22" t="n">
        <v>16</v>
      </c>
      <c r="D3" s="22" t="n">
        <v>16</v>
      </c>
      <c r="F3" s="26" t="s">
        <v>316</v>
      </c>
      <c r="G3" s="22" t="s">
        <v>119</v>
      </c>
      <c r="H3" s="24" t="n">
        <f aca="false">COUNTIFS('Hoja 2'!$B$2:$B$97,$A3,'Hoja 2'!$E$2:$E$97,$B3,'Hoja 2'!$K$2:$K$97,"Implementada")</f>
        <v>16</v>
      </c>
      <c r="I3" s="24" t="n">
        <f aca="false">COUNTIFS('Hoja 2'!$B$2:$B$97,$A3,'Hoja 2'!$E$2:$E$97,$B3,'Hoja 2'!$K$2:$K$97,"Pendiente")</f>
        <v>0</v>
      </c>
      <c r="J3" s="25" t="n">
        <f aca="false">IFERROR(H3/C3,"")</f>
        <v>1</v>
      </c>
    </row>
    <row r="4" customFormat="false" ht="12.75" hidden="false" customHeight="false" outlineLevel="0" collapsed="false">
      <c r="A4" s="22" t="s">
        <v>15</v>
      </c>
      <c r="B4" s="22" t="s">
        <v>82</v>
      </c>
      <c r="C4" s="22" t="n">
        <v>16</v>
      </c>
      <c r="D4" s="22" t="n">
        <v>16</v>
      </c>
      <c r="F4" s="27" t="s">
        <v>317</v>
      </c>
      <c r="G4" s="22" t="s">
        <v>82</v>
      </c>
      <c r="H4" s="24" t="n">
        <f aca="false">COUNTIFS('Hoja 2'!$B$2:$B$97,$A4,'Hoja 2'!$E$2:$E$97,$B4,'Hoja 2'!$K$2:$K$97,"Implementada")</f>
        <v>16</v>
      </c>
      <c r="I4" s="24" t="n">
        <f aca="false">COUNTIFS('Hoja 2'!$B$2:$B$97,$A4,'Hoja 2'!$E$2:$E$97,$B4,'Hoja 2'!$K$2:$K$97,"Pendiente")</f>
        <v>0</v>
      </c>
      <c r="J4" s="25" t="n">
        <f aca="false">IFERROR(H4/C4,"")</f>
        <v>1</v>
      </c>
    </row>
    <row r="5" customFormat="false" ht="12.75" hidden="false" customHeight="false" outlineLevel="0" collapsed="false">
      <c r="A5" s="22" t="s">
        <v>67</v>
      </c>
      <c r="B5" s="22" t="s">
        <v>18</v>
      </c>
      <c r="C5" s="22" t="n">
        <v>16</v>
      </c>
      <c r="D5" s="22" t="n">
        <v>16</v>
      </c>
      <c r="F5" s="22"/>
      <c r="G5" s="22"/>
      <c r="H5" s="24" t="n">
        <f aca="false">COUNTIFS('Hoja 2'!$B$2:$B$97,$A5,'Hoja 2'!$E$2:$E$97,$B5,'Hoja 2'!$K$2:$K$97,"Implementada")</f>
        <v>16</v>
      </c>
      <c r="I5" s="24" t="n">
        <f aca="false">COUNTIFS('Hoja 2'!$B$2:$B$97,$A5,'Hoja 2'!$E$2:$E$97,$B5,'Hoja 2'!$K$2:$K$97,"Pendiente")</f>
        <v>0</v>
      </c>
      <c r="J5" s="25" t="n">
        <f aca="false">IFERROR(H5/C5,"")</f>
        <v>1</v>
      </c>
    </row>
    <row r="6" customFormat="false" ht="12.75" hidden="false" customHeight="false" outlineLevel="0" collapsed="false">
      <c r="A6" s="22" t="s">
        <v>67</v>
      </c>
      <c r="B6" s="22" t="s">
        <v>119</v>
      </c>
      <c r="C6" s="22" t="n">
        <v>16</v>
      </c>
      <c r="D6" s="22" t="n">
        <v>16</v>
      </c>
      <c r="H6" s="24" t="n">
        <f aca="false">COUNTIFS('Hoja 2'!$B$2:$B$97,$A6,'Hoja 2'!$E$2:$E$97,$B6,'Hoja 2'!$K$2:$K$97,"Implementada")</f>
        <v>16</v>
      </c>
      <c r="I6" s="24" t="n">
        <f aca="false">COUNTIFS('Hoja 2'!$B$2:$B$97,$A6,'Hoja 2'!$E$2:$E$97,$B6,'Hoja 2'!$K$2:$K$97,"Pendiente")</f>
        <v>0</v>
      </c>
      <c r="J6" s="25" t="n">
        <f aca="false">IFERROR(H6/C6,"")</f>
        <v>1</v>
      </c>
    </row>
    <row r="7" customFormat="false" ht="12.75" hidden="false" customHeight="false" outlineLevel="0" collapsed="false">
      <c r="A7" s="22" t="s">
        <v>67</v>
      </c>
      <c r="B7" s="22" t="s">
        <v>82</v>
      </c>
      <c r="C7" s="22" t="n">
        <v>16</v>
      </c>
      <c r="D7" s="22" t="n">
        <v>16</v>
      </c>
      <c r="H7" s="24" t="n">
        <f aca="false">COUNTIFS('Hoja 2'!$B$2:$B$97,$A7,'Hoja 2'!$E$2:$E$97,$B7,'Hoja 2'!$K$2:$K$97,"Implementada")</f>
        <v>16</v>
      </c>
      <c r="I7" s="24" t="n">
        <f aca="false">COUNTIFS('Hoja 2'!$B$2:$B$97,$A7,'Hoja 2'!$E$2:$E$97,$B7,'Hoja 2'!$K$2:$K$97,"Pendiente")</f>
        <v>0</v>
      </c>
      <c r="J7" s="25" t="n">
        <f aca="false">IFERROR(H7/C7,"")</f>
        <v>1</v>
      </c>
    </row>
    <row r="8" customFormat="false" ht="12.75" hidden="false" customHeight="false" outlineLevel="0" collapsed="false">
      <c r="A8" s="28" t="s">
        <v>318</v>
      </c>
      <c r="B8" s="28"/>
      <c r="C8" s="28" t="n">
        <f aca="false">SUM(C2:C7)</f>
        <v>96</v>
      </c>
      <c r="D8" s="28" t="n">
        <f aca="false">SUM(D2:D7)</f>
        <v>96</v>
      </c>
      <c r="E8" s="28"/>
      <c r="F8" s="28"/>
      <c r="G8" s="28"/>
      <c r="H8" s="28" t="n">
        <f aca="false">SUM(H2:H7)</f>
        <v>96</v>
      </c>
      <c r="I8" s="28" t="n">
        <f aca="false">SUM(I2:I7)</f>
        <v>0</v>
      </c>
      <c r="J8" s="29" t="n">
        <f aca="false">IFERROR(H8/C8,"")</f>
        <v>1</v>
      </c>
    </row>
    <row r="16" customFormat="false" ht="12.75" hidden="false" customHeight="false" outlineLevel="0" collapsed="false">
      <c r="A16" s="28" t="s">
        <v>319</v>
      </c>
    </row>
    <row r="17" customFormat="false" ht="12.75" hidden="false" customHeight="false" outlineLevel="0" collapsed="false">
      <c r="A17" s="24" t="s">
        <v>320</v>
      </c>
    </row>
    <row r="18" customFormat="false" ht="12.75" hidden="false" customHeight="false" outlineLevel="0" collapsed="false">
      <c r="A18" s="24" t="s">
        <v>321</v>
      </c>
    </row>
    <row r="19" customFormat="false" ht="12.75" hidden="false" customHeight="false" outlineLevel="0" collapsed="false">
      <c r="A19" s="24" t="s">
        <v>322</v>
      </c>
    </row>
    <row r="20" customFormat="false" ht="12.75" hidden="false" customHeight="false" outlineLevel="0" collapsed="false">
      <c r="A20" s="24"/>
    </row>
    <row r="21" customFormat="false" ht="12.75" hidden="false" customHeight="false" outlineLevel="0" collapsed="false">
      <c r="A21" s="24" t="s">
        <v>323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2026-09-13T19:59:41Z</dcterms:created>
  <dc:creator>Mara Cuadra</dc:creator>
  <dc:description/>
  <dc:language>en-US</dc:language>
  <cp:lastModifiedBy>Mara Cuadra</cp:lastModifiedBy>
  <dcterms:modified xsi:type="dcterms:W3CDTF">2026-10-05T23:49:46Z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